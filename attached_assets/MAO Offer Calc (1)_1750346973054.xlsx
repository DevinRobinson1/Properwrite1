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r Calculator" sheetId="1" r:id="rId4"/>
    <sheet state="visible" name="Closing Fees &amp; Out Of Pocket Co" sheetId="2" r:id="rId5"/>
    <sheet state="visible" name="No Comps, but have Rents Calcul" sheetId="3" r:id="rId6"/>
    <sheet state="visible" name="Sheet7" sheetId="4" r:id="rId7"/>
  </sheets>
  <definedNames/>
  <calcPr/>
  <extLst>
    <ext uri="GoogleSheetsCustomDataVersion2">
      <go:sheetsCustomData xmlns:go="http://customooxmlschemas.google.com/" r:id="rId8" roundtripDataChecksum="ll/kid1UPL5c8kBitzbh7SBfTcO1zHkB5k7HLsqhvk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4">
      <text>
        <t xml:space="preserve">======
ID#AAAAiFAjsjs
RULES FOR THE ACKERMAN METHOD OF BARGAINING    (2022-10-21 01:11:06)
1. Set target price
2. Plan your offers
○ If you're the Buyer: 65% → 85% → 95% → 100%
○ If you're the Seller: 135% → 115% → 105% → 100%.
3. At final offer add non-monetary item to show that I’m at my limit.
● Use an Accusations Audit to pre-empt the first offer to take the edge off.
○ "You’re going to think I haven’t done my homework"
○ "You’re going to feel insulted by my offer"
○ "I’m embarrassed to tell you my offer"
● Use lots of empathy and ways of saying "No" in between to get other to counter before I
increase my offer.
● Use precise, non-round, odd numbers.</t>
      </text>
    </comment>
    <comment authorId="0" ref="G56">
      <text>
        <t xml:space="preserve">======
ID#AAAAiFAjsi8
RULES FOR THE ACKERMAN METHOD OF BARGAINING    (2022-10-21 01:11:06)
1. Set target price
2. Plan your offers
○ If you're the Buyer: 65% → 85% → 95% → 100%
○ If you're the Seller: 135% → 115% → 105% → 100%.
3. At final offer add non-monetary item to show that I’m at my limit.
● Use an Accusations Audit to pre-empt the first offer to take the edge off.
○ "You’re going to think I haven’t done my homework"
○ "You’re going to feel insulted by my offer"
○ "I’m embarrassed to tell you my offer"
● Use lots of empathy and ways of saying "No" in between to get other to counter before I
increase my offer.
● Use precise, non-round, odd numbers.</t>
      </text>
    </comment>
  </commentList>
  <extLst>
    <ext uri="GoogleSheetsCustomDataVersion2">
      <go:sheetsCustomData xmlns:go="http://customooxmlschemas.google.com/" r:id="rId1" roundtripDataSignature="AMtx7mhm5QoCzLDw9D7ybm+VaHd9Y4h8q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======
ID#AAAAiFAjskM
    (2022-10-21 01:11:06)
DEFAULT = $650</t>
      </text>
    </comment>
    <comment authorId="0" ref="A26">
      <text>
        <t xml:space="preserve">======
ID#AAAAiFAjskY
    (2022-10-21 01:11:06)
DEFAULT = $1,500</t>
      </text>
    </comment>
    <comment authorId="0" ref="A27">
      <text>
        <t xml:space="preserve">======
ID#AAAAiFAjskQ
    (2022-10-21 01:11:06)
DEFAULT = $750</t>
      </text>
    </comment>
    <comment authorId="0" ref="A5">
      <text>
        <t xml:space="preserve">======
ID#AAAAiFAjskA
    (2022-10-21 01:11:06)
DEFAULT = $500</t>
      </text>
    </comment>
    <comment authorId="0" ref="A15">
      <text>
        <t xml:space="preserve">======
ID#AAAAiFAjsjw
    (2022-10-21 01:11:06)
DEFAULT = $1,500 if a Condo / Townhome</t>
      </text>
    </comment>
    <comment authorId="0" ref="A9">
      <text>
        <t xml:space="preserve">======
ID#AAAAiFAjsjk
Google search    (2022-10-21 01:11:06)
How much are real estate transfer taxes in CITY, STATE
-or-
How much are real estate excise taxes in CITY, STATE</t>
      </text>
    </comment>
    <comment authorId="0" ref="A16">
      <text>
        <t xml:space="preserve">======
ID#AAAAiFAjsjc
    (2022-10-21 01:11:06)
DEFAULT = $650</t>
      </text>
    </comment>
    <comment authorId="0" ref="A8">
      <text>
        <t xml:space="preserve">======
ID#AAAAiFAjsjA
    (2022-10-21 01:11:06)
DEFAULT = 1.50%</t>
      </text>
    </comment>
    <comment authorId="0" ref="A30">
      <text>
        <t xml:space="preserve">======
ID#AAAAiFAjsi4
    (2022-10-21 01:11:06)
DEFAULT = $2,500</t>
      </text>
    </comment>
    <comment authorId="0" ref="A17">
      <text>
        <t xml:space="preserve">======
ID#AAAAiFAjsi0
    (2022-10-21 01:11:06)
Attorney Fees for Seller (attorney closing states only)</t>
      </text>
    </comment>
  </commentList>
  <extLst>
    <ext uri="GoogleSheetsCustomDataVersion2">
      <go:sheetsCustomData xmlns:go="http://customooxmlschemas.google.com/" r:id="rId1" roundtripDataSignature="AMtx7mgtivCe5IvZeU7OMlrnNZaZZtiGP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1">
      <text>
        <t xml:space="preserve">======
ID#AAAAiFAjsjU
RULES FOR THE ACKERMAN METHOD OF BARGAINING    (2022-10-21 01:11:06)
1. Set target price
2. Plan your offers
○ If you're the Buyer: 65% → 85% → 95% → 100%
○ If you're the Seller: 135% → 115% → 105% → 100%.
3. At final offer add non-monetary item to show that I’m at my limit.
● Use an Accusations Audit to pre-empt the first offer to take the edge off.
○ "You’re going to think I haven’t done my homework"
○ "You’re going to feel insulted by my offer"
○ "I’m embarrassed to tell you my offer"
● Use lots of empathy and ways of saying "No" in between to get other to counter before I
increase my offer.
● Use precise, non-round, odd numbers.</t>
      </text>
    </comment>
    <comment authorId="0" ref="G54">
      <text>
        <t xml:space="preserve">======
ID#AAAAiFAjsjM
RULES FOR THE ACKERMAN METHOD OF BARGAINING    (2022-10-21 01:11:06)
1. Set target price
2. Plan your offers
○ If you're the Buyer: 65% → 85% → 95% → 100%
○ If you're the Seller: 135% → 115% → 105% → 100%.
3. At final offer add non-monetary item to show that I’m at my limit.
● Use an Accusations Audit to pre-empt the first offer to take the edge off.
○ "You’re going to think I haven’t done my homework"
○ "You’re going to feel insulted by my offer"
○ "I’m embarrassed to tell you my offer"
● Use lots of empathy and ways of saying "No" in between to get other to counter before I
increase my offer.
● Use precise, non-round, odd numbers.</t>
      </text>
    </comment>
  </commentList>
  <extLst>
    <ext uri="GoogleSheetsCustomDataVersion2">
      <go:sheetsCustomData xmlns:go="http://customooxmlschemas.google.com/" r:id="rId1" roundtripDataSignature="AMtx7mjpZETp1CLGhCc3MF8Mu3p8o6HPv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ID#AAAAiFAjskU
    (2022-10-21 01:11:06)
Attorney Fees for Seller (attorney closing states only)</t>
      </text>
    </comment>
    <comment authorId="0" ref="A26">
      <text>
        <t xml:space="preserve">======
ID#AAAAiFAjskI
    (2022-10-21 01:11:06)
DEFAULT = $1,500</t>
      </text>
    </comment>
    <comment authorId="0" ref="A16">
      <text>
        <t xml:space="preserve">======
ID#AAAAiFAjskE
    (2022-10-21 01:11:06)
DEFAULT = $650</t>
      </text>
    </comment>
    <comment authorId="0" ref="A5">
      <text>
        <t xml:space="preserve">======
ID#AAAAiFAjsj4
    (2022-10-21 01:11:06)
DEFAULT = $500</t>
      </text>
    </comment>
    <comment authorId="0" ref="A27">
      <text>
        <t xml:space="preserve">======
ID#AAAAiFAjsjo
    (2022-10-21 01:11:06)
DEFAULT = $750</t>
      </text>
    </comment>
    <comment authorId="0" ref="A30">
      <text>
        <t xml:space="preserve">======
ID#AAAAiFAjsjg
    (2022-10-21 01:11:06)
DEFAULT = $2,500</t>
      </text>
    </comment>
    <comment authorId="0" ref="A8">
      <text>
        <t xml:space="preserve">======
ID#AAAAiFAjsjY
    (2022-10-21 01:11:06)
DEFAULT = 1.50%</t>
      </text>
    </comment>
    <comment authorId="0" ref="A15">
      <text>
        <t xml:space="preserve">======
ID#AAAAiFAjsjQ
    (2022-10-21 01:11:06)
DEFAULT = $1,500 if a Condo / Townhome</t>
      </text>
    </comment>
    <comment authorId="0" ref="A9">
      <text>
        <t xml:space="preserve">======
ID#AAAAiFAjsjE
Google search    (2022-10-21 01:11:06)
How much are real estate transfer taxes in CITY, STATE
-or-
How much are real estate excise taxes in CITY, STATE</t>
      </text>
    </comment>
    <comment authorId="0" ref="A12">
      <text>
        <t xml:space="preserve">======
ID#AAAAiFAjsjI
    (2022-10-21 01:11:06)
DEFAULT = $650</t>
      </text>
    </comment>
  </commentList>
  <extLst>
    <ext uri="GoogleSheetsCustomDataVersion2">
      <go:sheetsCustomData xmlns:go="http://customooxmlschemas.google.com/" r:id="rId1" roundtripDataSignature="AMtx7mghwNoSrKVGS4KRtCnDs5QLMyOsSQ=="/>
    </ext>
  </extLst>
</comments>
</file>

<file path=xl/sharedStrings.xml><?xml version="1.0" encoding="utf-8"?>
<sst xmlns="http://schemas.openxmlformats.org/spreadsheetml/2006/main" count="325" uniqueCount="160">
  <si>
    <t>Wholesale vs. Installment Offer Calculator</t>
  </si>
  <si>
    <r>
      <rPr>
        <rFont val="Arial"/>
        <b/>
        <i/>
        <color theme="1"/>
        <sz val="14.0"/>
        <u/>
      </rPr>
      <t>KEY</t>
    </r>
    <r>
      <rPr>
        <rFont val="Arial"/>
        <b val="0"/>
        <i/>
        <color theme="1"/>
        <sz val="14.0"/>
        <u/>
      </rPr>
      <t>:</t>
    </r>
  </si>
  <si>
    <t>Orange Highligted Field</t>
  </si>
  <si>
    <t>=</t>
  </si>
  <si>
    <t>Editable Field</t>
  </si>
  <si>
    <t>Grey Highlighted Field</t>
  </si>
  <si>
    <t>Variable Cost Only Known After Getting An Offer</t>
  </si>
  <si>
    <t>USER INPUTS</t>
  </si>
  <si>
    <t>WHOLESALE OFFER</t>
  </si>
  <si>
    <t>(Using ARV)</t>
  </si>
  <si>
    <t>ARV</t>
  </si>
  <si>
    <t>After Repaired Value ("ARV")</t>
  </si>
  <si>
    <t>x</t>
  </si>
  <si>
    <t>% of ARV for Wholesale Deals</t>
  </si>
  <si>
    <t>All-In Amount</t>
  </si>
  <si>
    <r>
      <rPr>
        <rFont val="Arial"/>
        <b/>
        <color theme="1"/>
        <sz val="12.0"/>
      </rPr>
      <t xml:space="preserve">Estimated Repairs </t>
    </r>
    <r>
      <rPr>
        <rFont val="Arial"/>
        <b val="0"/>
        <i/>
        <color theme="1"/>
        <sz val="12.0"/>
      </rPr>
      <t>(click link below for an estimator tool)</t>
    </r>
  </si>
  <si>
    <t>-</t>
  </si>
  <si>
    <t>Estimated Repairs</t>
  </si>
  <si>
    <t>http://repairs.jvwithcashflowsociety.com/</t>
  </si>
  <si>
    <t>Negative Appraisal Factors</t>
  </si>
  <si>
    <t>+</t>
  </si>
  <si>
    <t>Positive Appraisal Factors</t>
  </si>
  <si>
    <r>
      <rPr>
        <rFont val="Arial"/>
        <b/>
        <color theme="1"/>
        <sz val="12.0"/>
      </rPr>
      <t xml:space="preserve">Amount To </t>
    </r>
    <r>
      <rPr>
        <rFont val="Arial"/>
        <b/>
        <i/>
        <color theme="1"/>
        <sz val="12.0"/>
        <u/>
      </rPr>
      <t>SUBTRACT</t>
    </r>
    <r>
      <rPr>
        <rFont val="Arial"/>
        <b/>
        <color theme="1"/>
        <sz val="12.0"/>
      </rPr>
      <t xml:space="preserve"> For Negative Appraisal Factors</t>
    </r>
  </si>
  <si>
    <r>
      <rPr>
        <rFont val="Arial"/>
        <color theme="1"/>
        <sz val="11.0"/>
      </rPr>
      <t xml:space="preserve">Sales Price to Another Investor </t>
    </r>
    <r>
      <rPr>
        <rFont val="Arial"/>
        <i/>
        <color theme="1"/>
        <sz val="11.0"/>
      </rPr>
      <t>(Assignment Price)</t>
    </r>
  </si>
  <si>
    <t>(NOTE: This could be anything that would change the value of the property other than repairs; such as a weird feature of the house, or the property backs up to a commercial property, four lane road/highway, near railroad tracks / water tower / overhead high-voltage power lines, functional obsolescence, etc.)</t>
  </si>
  <si>
    <t>Minimum Acceptable Profit</t>
  </si>
  <si>
    <t>Wholesale Max. Allowable Offer ("MAO") + Non-Monetary Item</t>
  </si>
  <si>
    <t>3rd Offer - 95% of Wholesale MAO</t>
  </si>
  <si>
    <t>2nd Offer - 85% of Wholesale MAO</t>
  </si>
  <si>
    <r>
      <rPr>
        <rFont val="Arial"/>
        <b/>
        <color theme="1"/>
        <sz val="12.0"/>
      </rPr>
      <t xml:space="preserve">Amount To </t>
    </r>
    <r>
      <rPr>
        <rFont val="Arial"/>
        <b/>
        <i/>
        <color theme="1"/>
        <sz val="12.0"/>
        <u/>
      </rPr>
      <t>ADD</t>
    </r>
    <r>
      <rPr>
        <rFont val="Arial"/>
        <b/>
        <color theme="1"/>
        <sz val="12.0"/>
      </rPr>
      <t xml:space="preserve"> For Positive Appraisal Factors</t>
    </r>
  </si>
  <si>
    <t>1st Offer - 65% of Wholesale MAO</t>
  </si>
  <si>
    <t>(NOTE: Such as this house has 4 bedrooms, but all the comps have 3)</t>
  </si>
  <si>
    <t>(The numbers above come from a technique called the "Ackerman Method of Bargaining" as taught in "Never Split The Difference" by Chris Voss. Click here for key takeaways.)</t>
  </si>
  <si>
    <t>Do you want to take Appraisal Factors into account for your Wholesale offer?</t>
  </si>
  <si>
    <t>No</t>
  </si>
  <si>
    <t>Wholesale MAO Purchase Price % of ARV</t>
  </si>
  <si>
    <t>Retail Gap % Before Repairs Factored In</t>
  </si>
  <si>
    <r>
      <rPr>
        <rFont val="Arial"/>
        <b/>
        <color theme="1"/>
        <sz val="12.0"/>
      </rPr>
      <t xml:space="preserve">"As-Is Value" </t>
    </r>
    <r>
      <rPr>
        <rFont val="Arial"/>
        <b val="0"/>
        <i/>
        <color theme="1"/>
        <sz val="12.0"/>
      </rPr>
      <t>(=ARV - Est. Repairs - Appraisal Factors)</t>
    </r>
  </si>
  <si>
    <r>
      <rPr>
        <rFont val="Arial"/>
        <i/>
        <color theme="1"/>
        <sz val="11.0"/>
      </rPr>
      <t xml:space="preserve">Retail Gap Gross Profit Potential </t>
    </r>
    <r>
      <rPr>
        <rFont val="Arial"/>
        <i/>
        <color theme="1"/>
        <sz val="11.0"/>
      </rPr>
      <t>(ARV - Repairs - MAO)</t>
    </r>
  </si>
  <si>
    <t>Recommended Discount To Sell Fast On The M.L.S.</t>
  </si>
  <si>
    <t>(NOTE: We recommend listing it for 90% of the "As-Is Value," or $20,000, whichever is less.)</t>
  </si>
  <si>
    <r>
      <rPr>
        <rFont val="Arial"/>
        <b/>
        <i/>
        <color theme="1"/>
        <sz val="11.0"/>
        <u/>
      </rPr>
      <t>REMEMBER</t>
    </r>
    <r>
      <rPr>
        <rFont val="Arial"/>
        <i/>
        <color theme="1"/>
        <sz val="11.0"/>
      </rPr>
      <t>: We can offer 3 things to sellers: 1) Speed; 2) Convenience; or 3) Price. But they can only pick 2 out of those 3. If they want Speed and Convenience, then you'll need to revert back to a Wholesale Offer. If they want Speed and Price, then we can only buy it Subject-To the existing mortgage staying in place / with Owner Financing if owned free and clear. Most sellers that opt for doing an Installment deal are looking for Price and Convenience.</t>
    </r>
  </si>
  <si>
    <t>Discount To Sell Fast On The M.L.S.</t>
  </si>
  <si>
    <t>Do you want to factor the Discount into the List Price?</t>
  </si>
  <si>
    <t>Yes</t>
  </si>
  <si>
    <t>Installment  OFFER</t>
  </si>
  <si>
    <t>Price To List The Property On The M.L.S.</t>
  </si>
  <si>
    <t>% of ARV that we can sell this as a Wholesale Deal</t>
  </si>
  <si>
    <t xml:space="preserve"> </t>
  </si>
  <si>
    <r>
      <rPr>
        <rFont val="Arial"/>
        <i/>
        <color theme="1"/>
        <sz val="10.0"/>
      </rPr>
      <t>(</t>
    </r>
    <r>
      <rPr>
        <rFont val="Arial"/>
        <i/>
        <color theme="1"/>
        <sz val="10.0"/>
        <u/>
      </rPr>
      <t>NOTE</t>
    </r>
    <r>
      <rPr>
        <rFont val="Arial"/>
        <i/>
        <color theme="1"/>
        <sz val="10.0"/>
      </rPr>
      <t>: Depends on the market. Default = 65%; Max. % = 80%)</t>
    </r>
  </si>
  <si>
    <t>Installment Closing Fees &amp; Out Of Pocket Costs</t>
  </si>
  <si>
    <t>Discount To Sell Fast</t>
  </si>
  <si>
    <r>
      <rPr>
        <rFont val="Arial"/>
        <i/>
        <color theme="1"/>
        <sz val="10.0"/>
      </rPr>
      <t>(</t>
    </r>
    <r>
      <rPr>
        <rFont val="Arial"/>
        <i/>
        <color theme="1"/>
        <sz val="10.0"/>
        <u/>
      </rPr>
      <t>NOTE</t>
    </r>
    <r>
      <rPr>
        <rFont val="Arial"/>
        <i/>
        <color theme="1"/>
        <sz val="10.0"/>
      </rPr>
      <t>: See "Closing Fees &amp; Out Of Pocket Costs" tab for a detailed breakdown)</t>
    </r>
  </si>
  <si>
    <t>List Price on the M.L.S.</t>
  </si>
  <si>
    <t>Amount Offered by End-Buyer Over Asking Price</t>
  </si>
  <si>
    <t>Final Sales Price to End-Buyer</t>
  </si>
  <si>
    <r>
      <rPr>
        <rFont val="Arial"/>
        <b/>
        <color theme="1"/>
        <sz val="12.0"/>
      </rPr>
      <t xml:space="preserve">Suggested Minimum Profit </t>
    </r>
    <r>
      <rPr>
        <rFont val="Arial"/>
        <b val="0"/>
        <i/>
        <color theme="1"/>
        <sz val="12.0"/>
      </rPr>
      <t>(FOR REFERENCE ONLY)</t>
    </r>
  </si>
  <si>
    <t>Closing Fees &amp; Out Of Pocket Costs</t>
  </si>
  <si>
    <r>
      <rPr>
        <rFont val="Arial"/>
        <i/>
        <color theme="1"/>
        <sz val="10.0"/>
      </rPr>
      <t>(</t>
    </r>
    <r>
      <rPr>
        <rFont val="Arial"/>
        <i/>
        <color theme="1"/>
        <sz val="10.0"/>
        <u/>
      </rPr>
      <t>NOTE</t>
    </r>
    <r>
      <rPr>
        <rFont val="Arial"/>
        <i/>
        <color theme="1"/>
        <sz val="10.0"/>
      </rPr>
      <t>: Suggested Minimum Profit on a Installment is the greater of $25,000 or 10% of the Sales Price To Another Investor on a Wholesale Offer [i.e. Assignment Price]. Always shoot for at least 1.5x of that amount to leave room for negotiations.)</t>
    </r>
  </si>
  <si>
    <t>Gross Sales Price After Closing Fees &amp; Out Of Pocket Costs</t>
  </si>
  <si>
    <t>Amount To Split With Seller If Sold Over Asking Price</t>
  </si>
  <si>
    <t>Installment Max. Allowable Offer ("MAO") + Non-Monetary Item</t>
  </si>
  <si>
    <t>3rd Offer - 95% of Installment MAO</t>
  </si>
  <si>
    <t>2nd Offer - 85% of Novaiton MAO</t>
  </si>
  <si>
    <t>1st Offer - 65% of Installment MAO</t>
  </si>
  <si>
    <r>
      <rPr>
        <rFont val="Arial"/>
        <b/>
        <i/>
        <color theme="1"/>
        <sz val="12.0"/>
        <u/>
      </rPr>
      <t>NOTE</t>
    </r>
    <r>
      <rPr>
        <rFont val="Arial"/>
        <i/>
        <color theme="1"/>
        <sz val="12.0"/>
      </rPr>
      <t>: Only use the fields below after getting offers from third-party buyers if you agreed to split profits with the seller. That way you can figure out which offers are the most profitable.</t>
    </r>
  </si>
  <si>
    <t>Installment MAO Purchase Price % of ARV</t>
  </si>
  <si>
    <t>Difference between highest Installment vs. Wholesale MAO's</t>
  </si>
  <si>
    <t>Amount Over Asking Price Offered by End-Buyer on a Installment DEAL</t>
  </si>
  <si>
    <r>
      <rPr>
        <rFont val="Arial"/>
        <b/>
        <color theme="1"/>
        <sz val="12.0"/>
      </rPr>
      <t xml:space="preserve">Amount To Split With Seller If Sold For More Than Asking Price </t>
    </r>
    <r>
      <rPr>
        <rFont val="Arial"/>
        <b val="0"/>
        <i/>
        <color theme="1"/>
        <sz val="12.0"/>
      </rPr>
      <t>(OPTIONAL)</t>
    </r>
  </si>
  <si>
    <t>Installment Closing Costs &amp; Concessions</t>
  </si>
  <si>
    <t xml:space="preserve">KEY: </t>
  </si>
  <si>
    <t>Gray Highlighted Field</t>
  </si>
  <si>
    <t>= Do not change, if you can avoid it</t>
  </si>
  <si>
    <t>= Editable Field</t>
  </si>
  <si>
    <t>Fees Payable At Closing</t>
  </si>
  <si>
    <t>Using a Flat Fee Listing Service or Full Service Realtor?</t>
  </si>
  <si>
    <t>Full Service</t>
  </si>
  <si>
    <t>Flat Fee Listing Service Fee</t>
  </si>
  <si>
    <t>%</t>
  </si>
  <si>
    <t>Default Settings</t>
  </si>
  <si>
    <t>Listing Agent's Commission</t>
  </si>
  <si>
    <t>2.00% - 3.00% of Price To List As-Is. We usually pay Listing Agents 2.5%</t>
  </si>
  <si>
    <t>Buyer's Agent's Commission</t>
  </si>
  <si>
    <t>2.00% - 3.00% of Price To List As-Is. We like to pay Buyers Agents 3.5%</t>
  </si>
  <si>
    <t>Title &amp; Escrow Fees</t>
  </si>
  <si>
    <t>1.00% - 2.00% of Price To List As-Is.</t>
  </si>
  <si>
    <t>State / County / City Transfer Taxes</t>
  </si>
  <si>
    <t>Usually 0.10% to 1.00% of Price To List As-Is.  But check with your escrow agent or Google how much transfer taxes are in your area.</t>
  </si>
  <si>
    <t>Loan Concessions / Repair Credits to Buyer</t>
  </si>
  <si>
    <t>1.00% - 3.00% of Price To List As-Is.</t>
  </si>
  <si>
    <t>Buyer's Appraisal Fee (paid by Seller)</t>
  </si>
  <si>
    <t>If required, $500.</t>
  </si>
  <si>
    <t>Home Warranty Fee for Buyer</t>
  </si>
  <si>
    <t>$550 - $750</t>
  </si>
  <si>
    <t>HOA Resale Certificate Fee</t>
  </si>
  <si>
    <t>HOA Transfer Fee</t>
  </si>
  <si>
    <t>HOA Capital Improvement / Reserve Fees</t>
  </si>
  <si>
    <t>$0 for SFR houses. But check with the HOA or your escrow agent. Usually this only applies to Condos and Townhouses.</t>
  </si>
  <si>
    <t>New Survey</t>
  </si>
  <si>
    <t>$450 - $750.  Only if the Seller doesn't have an existing one on file.</t>
  </si>
  <si>
    <r>
      <rPr>
        <rFont val="Arial"/>
        <color theme="1"/>
        <sz val="11.0"/>
      </rPr>
      <t xml:space="preserve">Attorney Fees for Seller </t>
    </r>
    <r>
      <rPr>
        <rFont val="Arial"/>
        <i/>
        <color theme="1"/>
        <sz val="11.0"/>
      </rPr>
      <t>(attorney closing states only)</t>
    </r>
  </si>
  <si>
    <r>
      <rPr>
        <i/>
        <sz val="11.0"/>
      </rPr>
      <t xml:space="preserve">$1,000 to $3,000 if working in an attorney-closing state. </t>
    </r>
    <r>
      <rPr>
        <i/>
        <color rgb="FF1155CC"/>
        <sz val="11.0"/>
        <u/>
      </rPr>
      <t>List of Attorney vs. Title States</t>
    </r>
    <r>
      <rPr>
        <i/>
        <sz val="11.0"/>
      </rPr>
      <t>.</t>
    </r>
  </si>
  <si>
    <t>Private Lending Costs To Borrow Money For Repairs</t>
  </si>
  <si>
    <r>
      <rPr>
        <i/>
        <sz val="11.0"/>
      </rPr>
      <t xml:space="preserve">$0 - But if you're using a service like </t>
    </r>
    <r>
      <rPr>
        <i/>
        <color rgb="FF1155CC"/>
        <sz val="11.0"/>
        <u/>
      </rPr>
      <t>Revive</t>
    </r>
    <r>
      <rPr>
        <i/>
        <sz val="11.0"/>
      </rPr>
      <t xml:space="preserve"> or </t>
    </r>
    <r>
      <rPr>
        <i/>
        <color rgb="FF1155CC"/>
        <sz val="11.0"/>
        <u/>
      </rPr>
      <t>Curbio</t>
    </r>
    <r>
      <rPr>
        <i/>
        <sz val="11.0"/>
      </rPr>
      <t xml:space="preserve">, it'll cost roughly 15% of the loan amount as a "convenience fee." With </t>
    </r>
    <r>
      <rPr>
        <i/>
        <color rgb="FF1155CC"/>
        <sz val="11.0"/>
        <u/>
      </rPr>
      <t>Compass Concierge</t>
    </r>
    <r>
      <rPr>
        <i/>
        <sz val="11.0"/>
      </rPr>
      <t>, it's $0.</t>
    </r>
  </si>
  <si>
    <t>Other</t>
  </si>
  <si>
    <t>Total Fees Payable At Closing =</t>
  </si>
  <si>
    <t>Out Of Pocket (O.O.P.) Costs Payable Prior To Closing</t>
  </si>
  <si>
    <t>Are we willing to pay for Repairs prior to closing?</t>
  </si>
  <si>
    <t>Max. Amount To Pay For Minor Repairs Prior To Listing</t>
  </si>
  <si>
    <t>We're only willing to put in up to 10% of the Repair Budget prior to closing, with a maximum amount of up to $5,000. **Equation in case it gets deleted ----------------------------------------------&gt;</t>
  </si>
  <si>
    <t>=IF(C23="No",0,(IF(('Offer Calculator'!C15*10%)&lt;(5000),('Offer Calculator'!C15*10%),(5000))))</t>
  </si>
  <si>
    <t>Earnest Money Deposit</t>
  </si>
  <si>
    <t>Default = 0.5%; Min. $100, but up to 1.00% of the Purchase Price.  Reimbursable once you cancel the A-B contract with the seller and put them into the A-C contract with the end-buyer.</t>
  </si>
  <si>
    <t>Due Diligence Inspection Fees</t>
  </si>
  <si>
    <t>$500 to $2,000.  Depends on amount of issues at the property. Will cost more if there's a pool, septic system, and/or well on the property.</t>
  </si>
  <si>
    <t>Make-Ready Cleaning Fees</t>
  </si>
  <si>
    <t>$500 - $1,000</t>
  </si>
  <si>
    <t>Professional Photography for Marketing</t>
  </si>
  <si>
    <t>Matterport 3D Walk-Through</t>
  </si>
  <si>
    <t>Professional Staging</t>
  </si>
  <si>
    <t>$1,500 - $3,500</t>
  </si>
  <si>
    <t>Other - 1</t>
  </si>
  <si>
    <t>Other - 2</t>
  </si>
  <si>
    <t>Other - 3</t>
  </si>
  <si>
    <t>Total Out Of Pocket Costs Prior To Closing =</t>
  </si>
  <si>
    <t>TOTAL OUT OF POCKET COSTS &amp; FEES PAYABLE AT CLOSING</t>
  </si>
  <si>
    <r>
      <rPr>
        <rFont val="Arial"/>
        <b/>
        <i/>
        <color theme="1"/>
        <sz val="14.0"/>
        <u/>
      </rPr>
      <t>KEY</t>
    </r>
    <r>
      <rPr>
        <rFont val="Arial"/>
        <b val="0"/>
        <i/>
        <color theme="1"/>
        <sz val="14.0"/>
        <u/>
      </rPr>
      <t>:</t>
    </r>
  </si>
  <si>
    <t>(Using Expected Rent and Cap Rate)</t>
  </si>
  <si>
    <t>After Repaired Rent Rate Per Month</t>
  </si>
  <si>
    <t>Desired Cap Rate</t>
  </si>
  <si>
    <r>
      <rPr>
        <i/>
        <sz val="10.0"/>
      </rPr>
      <t xml:space="preserve">(We usually shoot for a min. 5.00-7.00% </t>
    </r>
    <r>
      <rPr>
        <i/>
        <color rgb="FF1155CC"/>
        <sz val="10.0"/>
        <u/>
      </rPr>
      <t>Cap Rate</t>
    </r>
    <r>
      <rPr>
        <i/>
        <sz val="10.0"/>
      </rPr>
      <t xml:space="preserve"> in today's market. Check with your local realtor to confirm cap rates.)</t>
    </r>
  </si>
  <si>
    <t>Estimated Expense Ratio as a Rental</t>
  </si>
  <si>
    <t>(We usually shoot for a max. 40.00% Expense Ratio, meaning if it would rent for $1,000/mo. then $400 of that would go toward expenses other than PITI / Debt Service)</t>
  </si>
  <si>
    <r>
      <rPr>
        <rFont val="Arial"/>
        <color theme="1"/>
        <sz val="11.0"/>
      </rPr>
      <t xml:space="preserve">Sales Price to Another Investor </t>
    </r>
    <r>
      <rPr>
        <rFont val="Arial"/>
        <i/>
        <color theme="1"/>
        <sz val="11.0"/>
      </rPr>
      <t>(Assignment Price)</t>
    </r>
  </si>
  <si>
    <r>
      <rPr>
        <rFont val="Arial"/>
        <b/>
        <color theme="1"/>
        <sz val="12.0"/>
      </rPr>
      <t xml:space="preserve">Assumed After Repaired Value </t>
    </r>
    <r>
      <rPr>
        <rFont val="Arial"/>
        <b/>
        <i/>
        <color theme="1"/>
        <sz val="12.0"/>
      </rPr>
      <t>("ARV")</t>
    </r>
  </si>
  <si>
    <r>
      <rPr>
        <rFont val="Arial"/>
        <b/>
        <color theme="1"/>
        <sz val="12.0"/>
      </rPr>
      <t xml:space="preserve">Estimated Repairs </t>
    </r>
    <r>
      <rPr>
        <rFont val="Arial"/>
        <b val="0"/>
        <i/>
        <color theme="1"/>
        <sz val="12.0"/>
      </rPr>
      <t>(click link below for an estimator tool)</t>
    </r>
  </si>
  <si>
    <r>
      <rPr>
        <rFont val="Arial"/>
        <b/>
        <color theme="1"/>
        <sz val="12.0"/>
      </rPr>
      <t xml:space="preserve">Amount To </t>
    </r>
    <r>
      <rPr>
        <rFont val="Arial"/>
        <b/>
        <i/>
        <color theme="1"/>
        <sz val="12.0"/>
        <u/>
      </rPr>
      <t>SUBTRACT</t>
    </r>
    <r>
      <rPr>
        <rFont val="Arial"/>
        <b/>
        <color theme="1"/>
        <sz val="12.0"/>
      </rPr>
      <t xml:space="preserve"> For Negative Appraisal Factors</t>
    </r>
  </si>
  <si>
    <r>
      <rPr>
        <rFont val="Arial"/>
        <color theme="1"/>
        <sz val="11.0"/>
      </rPr>
      <t xml:space="preserve">Retail Gap Gross Profit Potential </t>
    </r>
    <r>
      <rPr>
        <rFont val="Arial"/>
        <i/>
        <color theme="1"/>
        <sz val="11.0"/>
      </rPr>
      <t>(ARV - Repairs - MAO)</t>
    </r>
  </si>
  <si>
    <r>
      <rPr>
        <rFont val="Arial"/>
        <b/>
        <color theme="1"/>
        <sz val="12.0"/>
      </rPr>
      <t xml:space="preserve">Amount To </t>
    </r>
    <r>
      <rPr>
        <rFont val="Arial"/>
        <b/>
        <i/>
        <color theme="1"/>
        <sz val="12.0"/>
        <u/>
      </rPr>
      <t>ADD</t>
    </r>
    <r>
      <rPr>
        <rFont val="Arial"/>
        <b/>
        <color theme="1"/>
        <sz val="12.0"/>
      </rPr>
      <t xml:space="preserve"> For Positive Appraisal Factors</t>
    </r>
  </si>
  <si>
    <r>
      <rPr>
        <rFont val="Arial"/>
        <b/>
        <i/>
        <color theme="1"/>
        <sz val="11.0"/>
        <u/>
      </rPr>
      <t>REMEMBER</t>
    </r>
    <r>
      <rPr>
        <rFont val="Arial"/>
        <i/>
        <color theme="1"/>
        <sz val="11.0"/>
      </rPr>
      <t>: We can offer 3 things to sellers: 1) Speed; 2) Convenience; or 3) Price. But they can only pick 2 out of those 3. If they want Speed and Convenience, then you'll need to revert back to a Wholesale Offer. If they want Speed and Price, then we can only buy it Subject-To the existing mortgage staying in place / with Owner Financing if owned free and clear. Most sellers that opt for doing a Installment deal are looking for Price and Convenience.</t>
    </r>
  </si>
  <si>
    <t xml:space="preserve">Do you want to take Appraisal Factors into account for your Wholesale offer?
</t>
  </si>
  <si>
    <r>
      <rPr>
        <rFont val="Arial"/>
        <b/>
        <color theme="1"/>
        <sz val="12.0"/>
      </rPr>
      <t xml:space="preserve">"As-Is Value" </t>
    </r>
    <r>
      <rPr>
        <rFont val="Arial"/>
        <b val="0"/>
        <i/>
        <color theme="1"/>
        <sz val="12.0"/>
      </rPr>
      <t>(=ARV - Est. Repairs - Appraisal Factors)</t>
    </r>
  </si>
  <si>
    <t>Installment OFFER</t>
  </si>
  <si>
    <t>(NOTE: We recommend listing it for 95% of the "As-Is Value," or $20,000, whichever is less.)</t>
  </si>
  <si>
    <t>Out Of Pocket Costs &amp; Fees Payable At Closing</t>
  </si>
  <si>
    <r>
      <rPr>
        <rFont val="Arial"/>
        <i/>
        <color theme="1"/>
        <sz val="10.0"/>
      </rPr>
      <t>(</t>
    </r>
    <r>
      <rPr>
        <rFont val="Arial"/>
        <i/>
        <color theme="1"/>
        <sz val="10.0"/>
        <u/>
      </rPr>
      <t>NOTE</t>
    </r>
    <r>
      <rPr>
        <rFont val="Arial"/>
        <i/>
        <color theme="1"/>
        <sz val="10.0"/>
      </rPr>
      <t>: Depends on the market. Default = 65%; Max. % = 80%)</t>
    </r>
  </si>
  <si>
    <t>Gross Sales Price After O.O.P Costs &amp; Fees</t>
  </si>
  <si>
    <r>
      <rPr>
        <rFont val="Arial"/>
        <i/>
        <color theme="1"/>
        <sz val="10.0"/>
      </rPr>
      <t>(</t>
    </r>
    <r>
      <rPr>
        <rFont val="Arial"/>
        <i/>
        <color theme="1"/>
        <sz val="10.0"/>
        <u/>
      </rPr>
      <t>NOTE</t>
    </r>
    <r>
      <rPr>
        <rFont val="Arial"/>
        <i/>
        <color theme="1"/>
        <sz val="10.0"/>
      </rPr>
      <t>: See "Closing Fees &amp; Out Of Pocket Costs" tab for a detailed breakdown)</t>
    </r>
  </si>
  <si>
    <t>Installment Max. Allowable Offer ("MAO")</t>
  </si>
  <si>
    <r>
      <rPr>
        <rFont val="Arial"/>
        <b/>
        <color theme="1"/>
        <sz val="12.0"/>
      </rPr>
      <t xml:space="preserve">Suggested Minimum Profit </t>
    </r>
    <r>
      <rPr>
        <rFont val="Arial"/>
        <b val="0"/>
        <i/>
        <color theme="1"/>
        <sz val="12.0"/>
      </rPr>
      <t>(FOR REFERENCE ONLY)</t>
    </r>
  </si>
  <si>
    <r>
      <rPr>
        <rFont val="Arial"/>
        <i/>
        <color theme="1"/>
        <sz val="10.0"/>
      </rPr>
      <t>(</t>
    </r>
    <r>
      <rPr>
        <rFont val="Arial"/>
        <i/>
        <color theme="1"/>
        <sz val="10.0"/>
        <u/>
      </rPr>
      <t>NOTE</t>
    </r>
    <r>
      <rPr>
        <rFont val="Arial"/>
        <i/>
        <color theme="1"/>
        <sz val="10.0"/>
      </rPr>
      <t>: Suggested Minimum Profit on a Installment is the greater of $25,000 or 10% of the Sales Price To Another Investor on a Wholesale Offer [i.e. Assignment Price]. Always shoot for at least 1.5x of that amount to leave room for negotiations.)</t>
    </r>
  </si>
  <si>
    <t>Difference between Installment vs. Wholesale MAO's</t>
  </si>
  <si>
    <r>
      <rPr>
        <rFont val="Arial"/>
        <b/>
        <i/>
        <color theme="1"/>
        <sz val="12.0"/>
        <u/>
      </rPr>
      <t>NOTE</t>
    </r>
    <r>
      <rPr>
        <rFont val="Arial"/>
        <i/>
        <color theme="1"/>
        <sz val="12.0"/>
      </rPr>
      <t>: Only use the fields below after getting offers from third-party buyers if you agreed to split profits with the seller. That way you can figure out which offers are the most profitable.</t>
    </r>
  </si>
  <si>
    <t>Amount Over Asking Price (i.e. "As-Is Value") Offered by End-Buyer on a Installment DEAL</t>
  </si>
  <si>
    <r>
      <rPr>
        <rFont val="Arial"/>
        <b/>
        <color theme="1"/>
        <sz val="12.0"/>
      </rPr>
      <t xml:space="preserve">Amount To Split With Seller If Sold For More Than Asking Price </t>
    </r>
    <r>
      <rPr>
        <rFont val="Arial"/>
        <b/>
        <i/>
        <color theme="1"/>
        <sz val="12.0"/>
      </rPr>
      <t>(OPTIONAL)</t>
    </r>
  </si>
  <si>
    <r>
      <rPr>
        <rFont val="Arial"/>
        <color theme="1"/>
        <sz val="11.0"/>
      </rPr>
      <t xml:space="preserve">Attorney Fees for Seller </t>
    </r>
    <r>
      <rPr>
        <rFont val="Arial"/>
        <i/>
        <color theme="1"/>
        <sz val="11.0"/>
      </rPr>
      <t>(attorney closing states only)</t>
    </r>
  </si>
  <si>
    <r>
      <rPr>
        <i/>
        <sz val="11.0"/>
      </rPr>
      <t xml:space="preserve">$1,000 to $3,000 if working in an attorney-closing state. </t>
    </r>
    <r>
      <rPr>
        <i/>
        <color rgb="FF1155CC"/>
        <sz val="11.0"/>
        <u/>
      </rPr>
      <t>List of Attorney vs. Title States</t>
    </r>
    <r>
      <rPr>
        <i/>
        <sz val="11.0"/>
      </rPr>
      <t>.</t>
    </r>
  </si>
  <si>
    <r>
      <rPr>
        <i/>
        <sz val="11.0"/>
      </rPr>
      <t xml:space="preserve">$0 - But if you're using a service like </t>
    </r>
    <r>
      <rPr>
        <i/>
        <color rgb="FF1155CC"/>
        <sz val="11.0"/>
        <u/>
      </rPr>
      <t>Revive</t>
    </r>
    <r>
      <rPr>
        <i/>
        <sz val="11.0"/>
      </rPr>
      <t xml:space="preserve"> or </t>
    </r>
    <r>
      <rPr>
        <i/>
        <color rgb="FF1155CC"/>
        <sz val="11.0"/>
        <u/>
      </rPr>
      <t>Curbio</t>
    </r>
    <r>
      <rPr>
        <i/>
        <sz val="11.0"/>
      </rPr>
      <t xml:space="preserve">, it'll cost roughly 15% of the loan amount as a "convenience fee." With </t>
    </r>
    <r>
      <rPr>
        <i/>
        <color rgb="FF1155CC"/>
        <sz val="11.0"/>
        <u/>
      </rPr>
      <t>Compass Concierge</t>
    </r>
    <r>
      <rPr>
        <i/>
        <sz val="11.0"/>
      </rPr>
      <t>, it's $0.</t>
    </r>
  </si>
  <si>
    <t>=IF(C23="No",0,(IF(('No Comps, but have Rents? Calculate Offer This Way'!C9*10%)&lt;(5000),('No Comps, but have Rents? Calculate Offer This Way'!C9*10%),(5000))))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</si>
</sst>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7">
    <font>
      <sz val="10.0"/>
      <color rgb="FF000000"/>
      <name val="Arial"/>
      <scheme val="minor"/>
    </font>
    <font>
      <b/>
      <i/>
      <u/>
      <sz val="18.0"/>
      <color rgb="FF0000FF"/>
      <name val="Arial"/>
    </font>
    <font>
      <sz val="11.0"/>
      <color theme="1"/>
      <name val="Arial"/>
    </font>
    <font>
      <b/>
      <i/>
      <u/>
      <sz val="14.0"/>
      <color rgb="FF0000FF"/>
      <name val="Arial"/>
    </font>
    <font>
      <sz val="12.0"/>
      <color theme="1"/>
      <name val="Arial"/>
    </font>
    <font>
      <b/>
      <i/>
      <u/>
      <sz val="18.0"/>
      <color theme="1"/>
      <name val="Arial"/>
    </font>
    <font>
      <b/>
      <i/>
      <u/>
      <sz val="14.0"/>
      <color theme="1"/>
      <name val="Arial"/>
    </font>
    <font/>
    <font>
      <i/>
      <sz val="11.0"/>
      <color rgb="FF0000FF"/>
      <name val="Arial"/>
    </font>
    <font>
      <b/>
      <i/>
      <u/>
      <sz val="18.0"/>
      <color rgb="FF0000FF"/>
      <name val="Arial"/>
    </font>
    <font>
      <b/>
      <i/>
      <u/>
      <sz val="14.0"/>
      <color rgb="FF0000FF"/>
      <name val="Arial"/>
    </font>
    <font>
      <b/>
      <i/>
      <u/>
      <sz val="14.0"/>
      <color theme="1"/>
      <name val="Arial"/>
    </font>
    <font>
      <b/>
      <i/>
      <u/>
      <sz val="14.0"/>
      <color rgb="FF000000"/>
      <name val="Arial"/>
    </font>
    <font>
      <i/>
      <sz val="11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u/>
      <sz val="11.0"/>
      <color rgb="FF0000FF"/>
    </font>
    <font>
      <color theme="1"/>
      <name val="Arial"/>
    </font>
    <font>
      <i/>
      <color theme="1"/>
      <name val="Arial"/>
    </font>
    <font>
      <b/>
      <sz val="11.0"/>
      <color rgb="FFFFFF00"/>
      <name val="Arial"/>
    </font>
    <font>
      <b/>
      <sz val="11.0"/>
      <color rgb="FF000000"/>
      <name val="Arial"/>
    </font>
    <font>
      <sz val="11.0"/>
      <color rgb="FF000000"/>
      <name val="Arial"/>
    </font>
    <font>
      <i/>
      <color rgb="FF000000"/>
      <name val="Arial"/>
    </font>
    <font>
      <i/>
      <u/>
      <color rgb="FF0000FF"/>
    </font>
    <font>
      <i/>
      <sz val="10.0"/>
      <color theme="1"/>
      <name val="Arial"/>
    </font>
    <font>
      <b/>
      <i/>
      <u/>
      <sz val="14.0"/>
      <color rgb="FF000000"/>
      <name val="Arial"/>
    </font>
    <font>
      <b/>
      <color theme="1"/>
      <name val="Arial"/>
    </font>
    <font>
      <sz val="11.0"/>
      <color rgb="FF85200C"/>
      <name val="Arial"/>
    </font>
    <font>
      <sz val="11.0"/>
      <color rgb="FFFFFF00"/>
      <name val="Arial"/>
    </font>
    <font>
      <i/>
      <u/>
      <color rgb="FF0000FF"/>
    </font>
    <font>
      <i/>
      <sz val="12.0"/>
      <color theme="1"/>
      <name val="Arial"/>
    </font>
    <font>
      <b/>
      <i/>
      <sz val="18.0"/>
      <color theme="1"/>
      <name val="Arial"/>
    </font>
    <font>
      <b/>
      <i/>
      <sz val="14.0"/>
      <color theme="1"/>
      <name val="Arial"/>
    </font>
    <font>
      <b/>
      <i/>
      <u/>
      <sz val="11.0"/>
      <color theme="1"/>
      <name val="Arial"/>
    </font>
    <font>
      <b/>
      <i/>
      <u/>
      <sz val="12.0"/>
      <color theme="1"/>
      <name val="Arial"/>
    </font>
    <font>
      <b/>
      <i/>
      <u/>
      <sz val="11.0"/>
      <color theme="1"/>
      <name val="Arial"/>
    </font>
    <font>
      <b/>
      <i/>
      <u/>
      <sz val="11.0"/>
      <color theme="1"/>
      <name val="Arial"/>
    </font>
    <font>
      <b/>
      <i/>
      <u/>
      <sz val="11.0"/>
      <color theme="1"/>
      <name val="Arial"/>
    </font>
    <font>
      <b/>
      <i/>
      <u/>
      <sz val="12.0"/>
      <color theme="1"/>
      <name val="Arial"/>
    </font>
    <font>
      <i/>
      <u/>
      <sz val="11.0"/>
      <color rgb="FF0000FF"/>
    </font>
    <font>
      <b/>
      <i/>
      <sz val="11.0"/>
      <color theme="1"/>
      <name val="Arial"/>
    </font>
    <font>
      <b/>
      <u/>
      <sz val="11.0"/>
      <color theme="1"/>
      <name val="Arial"/>
    </font>
    <font>
      <sz val="11.0"/>
      <color rgb="FF000000"/>
      <name val="Inconsolata"/>
    </font>
    <font>
      <u/>
      <sz val="11.0"/>
      <color rgb="FF0000FF"/>
    </font>
    <font>
      <b/>
      <i/>
      <sz val="11.0"/>
      <color rgb="FFFFFF00"/>
      <name val="Arial"/>
    </font>
    <font>
      <i/>
      <u/>
      <sz val="10.0"/>
      <color rgb="FF0000FF"/>
    </font>
    <font>
      <b/>
      <i/>
      <u/>
      <sz val="14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horizontal="right" vertical="center"/>
    </xf>
    <xf borderId="1" fillId="2" fontId="2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0" fontId="7" numFmtId="0" xfId="0" applyBorder="1" applyFont="1"/>
    <xf quotePrefix="1"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quotePrefix="1"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4" fontId="9" numFmtId="0" xfId="0" applyAlignment="1" applyFill="1" applyFont="1">
      <alignment horizontal="center" vertical="center"/>
    </xf>
    <xf borderId="0" fillId="4" fontId="2" numFmtId="0" xfId="0" applyAlignment="1" applyFont="1">
      <alignment horizontal="right" vertical="center"/>
    </xf>
    <xf borderId="0" fillId="4" fontId="10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4" fontId="4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15" numFmtId="0" xfId="0" applyAlignment="1" applyFont="1">
      <alignment vertical="center"/>
    </xf>
    <xf borderId="4" fillId="2" fontId="14" numFmtId="165" xfId="0" applyAlignment="1" applyBorder="1" applyFont="1" applyNumberFormat="1">
      <alignment readingOrder="0" vertical="center"/>
    </xf>
    <xf quotePrefix="1" borderId="0" fillId="0" fontId="2" numFmtId="0" xfId="0" applyAlignment="1" applyFont="1">
      <alignment horizontal="right" vertical="center"/>
    </xf>
    <xf borderId="5" fillId="0" fontId="2" numFmtId="10" xfId="0" applyAlignment="1" applyBorder="1" applyFont="1" applyNumberFormat="1">
      <alignment vertical="center"/>
    </xf>
    <xf borderId="5" fillId="0" fontId="2" numFmtId="0" xfId="0" applyAlignment="1" applyBorder="1" applyFont="1">
      <alignment vertical="center"/>
    </xf>
    <xf borderId="5" fillId="0" fontId="7" numFmtId="0" xfId="0" applyBorder="1" applyFont="1"/>
    <xf borderId="4" fillId="2" fontId="2" numFmtId="165" xfId="0" applyAlignment="1" applyBorder="1" applyFont="1" applyNumberFormat="1">
      <alignment readingOrder="0" vertical="center"/>
    </xf>
    <xf borderId="6" fillId="5" fontId="16" numFmtId="0" xfId="0" applyAlignment="1" applyBorder="1" applyFill="1" applyFont="1">
      <alignment horizontal="center" vertical="center"/>
    </xf>
    <xf quotePrefix="1" borderId="0" fillId="0" fontId="2" numFmtId="0" xfId="0" applyAlignment="1" applyFont="1">
      <alignment horizontal="right"/>
    </xf>
    <xf borderId="5" fillId="0" fontId="2" numFmtId="165" xfId="0" applyBorder="1" applyFont="1" applyNumberFormat="1"/>
    <xf borderId="5" fillId="0" fontId="2" numFmtId="0" xfId="0" applyBorder="1" applyFont="1"/>
    <xf borderId="5" fillId="0" fontId="17" numFmtId="0" xfId="0" applyBorder="1" applyFont="1"/>
    <xf borderId="0" fillId="0" fontId="18" numFmtId="0" xfId="0" applyAlignment="1" applyFont="1">
      <alignment horizontal="left" shrinkToFit="0" vertical="top" wrapText="1"/>
    </xf>
    <xf borderId="0" fillId="0" fontId="17" numFmtId="0" xfId="0" applyAlignment="1" applyFont="1">
      <alignment shrinkToFit="0" wrapText="1"/>
    </xf>
    <xf borderId="7" fillId="6" fontId="19" numFmtId="165" xfId="0" applyAlignment="1" applyBorder="1" applyFill="1" applyFont="1" applyNumberFormat="1">
      <alignment vertical="center"/>
    </xf>
    <xf borderId="8" fillId="6" fontId="19" numFmtId="0" xfId="0" applyAlignment="1" applyBorder="1" applyFont="1">
      <alignment vertical="center"/>
    </xf>
    <xf borderId="8" fillId="0" fontId="7" numFmtId="0" xfId="0" applyBorder="1" applyFont="1"/>
    <xf borderId="9" fillId="0" fontId="7" numFmtId="0" xfId="0" applyBorder="1" applyFont="1"/>
    <xf borderId="0" fillId="2" fontId="20" numFmtId="165" xfId="0" applyAlignment="1" applyFont="1" applyNumberFormat="1">
      <alignment vertical="center"/>
    </xf>
    <xf borderId="0" fillId="2" fontId="21" numFmtId="0" xfId="0" applyAlignment="1" applyFont="1">
      <alignment vertical="center"/>
    </xf>
    <xf borderId="0" fillId="2" fontId="20" numFmtId="0" xfId="0" applyAlignment="1" applyFont="1">
      <alignment vertical="center"/>
    </xf>
    <xf borderId="0" fillId="5" fontId="14" numFmtId="165" xfId="0" applyAlignment="1" applyFont="1" applyNumberFormat="1">
      <alignment vertical="center"/>
    </xf>
    <xf borderId="0" fillId="5" fontId="14" numFmtId="0" xfId="0" applyAlignment="1" applyFont="1">
      <alignment vertical="center"/>
    </xf>
    <xf borderId="0" fillId="7" fontId="19" numFmtId="165" xfId="0" applyAlignment="1" applyFill="1" applyFont="1" applyNumberFormat="1">
      <alignment vertical="center"/>
    </xf>
    <xf borderId="0" fillId="7" fontId="19" numFmtId="0" xfId="0" applyAlignment="1" applyFont="1">
      <alignment vertical="center"/>
    </xf>
    <xf borderId="0" fillId="8" fontId="22" numFmtId="0" xfId="0" applyAlignment="1" applyFill="1" applyFont="1">
      <alignment horizontal="left"/>
    </xf>
    <xf borderId="0" fillId="0" fontId="23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4" fillId="2" fontId="17" numFmtId="0" xfId="0" applyAlignment="1" applyBorder="1" applyFont="1">
      <alignment horizontal="right" readingOrder="0" vertical="center"/>
    </xf>
    <xf borderId="0" fillId="0" fontId="18" numFmtId="0" xfId="0" applyAlignment="1" applyFont="1">
      <alignment horizontal="center"/>
    </xf>
    <xf borderId="0" fillId="0" fontId="17" numFmtId="0" xfId="0" applyAlignment="1" applyFont="1">
      <alignment vertical="center"/>
    </xf>
    <xf borderId="0" fillId="0" fontId="13" numFmtId="10" xfId="0" applyAlignment="1" applyFont="1" applyNumberFormat="1">
      <alignment vertical="center"/>
    </xf>
    <xf quotePrefix="1" borderId="0" fillId="0" fontId="13" numFmtId="0" xfId="0" applyAlignment="1" applyFont="1">
      <alignment horizontal="center" vertical="center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4" fillId="0" fontId="2" numFmtId="165" xfId="0" applyAlignment="1" applyBorder="1" applyFont="1" applyNumberFormat="1">
      <alignment vertical="center"/>
    </xf>
    <xf borderId="0" fillId="0" fontId="13" numFmtId="165" xfId="0" applyAlignment="1" applyFont="1" applyNumberFormat="1">
      <alignment vertical="center"/>
    </xf>
    <xf borderId="4" fillId="0" fontId="2" numFmtId="165" xfId="0" applyAlignment="1" applyBorder="1" applyFont="1" applyNumberFormat="1">
      <alignment readingOrder="0" vertical="center"/>
    </xf>
    <xf borderId="0" fillId="4" fontId="2" numFmtId="165" xfId="0" applyAlignment="1" applyFont="1" applyNumberFormat="1">
      <alignment vertical="center"/>
    </xf>
    <xf borderId="0" fillId="4" fontId="2" numFmtId="0" xfId="0" applyAlignment="1" applyFont="1">
      <alignment horizontal="center" vertical="center"/>
    </xf>
    <xf borderId="0" fillId="4" fontId="2" numFmtId="0" xfId="0" applyAlignment="1" applyFont="1">
      <alignment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10" fillId="9" fontId="13" numFmtId="0" xfId="0" applyAlignment="1" applyBorder="1" applyFill="1" applyFont="1">
      <alignment horizontal="left" readingOrder="0" shrinkToFit="0" vertical="center" wrapText="1"/>
    </xf>
    <xf borderId="11" fillId="0" fontId="7" numFmtId="0" xfId="0" applyBorder="1" applyFont="1"/>
    <xf borderId="12" fillId="0" fontId="7" numFmtId="0" xfId="0" applyBorder="1" applyFont="1"/>
    <xf borderId="0" fillId="0" fontId="13" numFmtId="0" xfId="0" applyAlignment="1" applyFont="1">
      <alignment horizontal="left" shrinkToFit="0" vertical="center" wrapText="1"/>
    </xf>
    <xf borderId="13" fillId="0" fontId="7" numFmtId="0" xfId="0" applyBorder="1" applyFont="1"/>
    <xf borderId="14" fillId="0" fontId="7" numFmtId="0" xfId="0" applyBorder="1" applyFont="1"/>
    <xf borderId="0" fillId="0" fontId="17" numFmtId="0" xfId="0" applyAlignment="1" applyFont="1">
      <alignment horizontal="left" shrinkToFit="0" vertical="center" wrapText="1"/>
    </xf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4" fillId="2" fontId="2" numFmtId="0" xfId="0" applyAlignment="1" applyBorder="1" applyFont="1">
      <alignment horizontal="right" readingOrder="0" vertical="center"/>
    </xf>
    <xf borderId="0" fillId="0" fontId="25" numFmtId="0" xfId="0" applyAlignment="1" applyFont="1">
      <alignment horizontal="center" readingOrder="0" vertical="center"/>
    </xf>
    <xf borderId="7" fillId="0" fontId="14" numFmtId="0" xfId="0" applyAlignment="1" applyBorder="1" applyFont="1">
      <alignment vertical="center"/>
    </xf>
    <xf borderId="8" fillId="0" fontId="26" numFmtId="0" xfId="0" applyAlignment="1" applyBorder="1" applyFont="1">
      <alignment vertical="center"/>
    </xf>
    <xf borderId="9" fillId="0" fontId="14" numFmtId="165" xfId="0" applyAlignment="1" applyBorder="1" applyFont="1" applyNumberFormat="1">
      <alignment vertical="center"/>
    </xf>
    <xf borderId="0" fillId="0" fontId="2" numFmtId="10" xfId="0" applyAlignment="1" applyFont="1" applyNumberFormat="1">
      <alignment horizontal="right" shrinkToFit="0" vertical="center" wrapText="1"/>
    </xf>
    <xf borderId="4" fillId="2" fontId="2" numFmtId="10" xfId="0" applyAlignment="1" applyBorder="1" applyFont="1" applyNumberFormat="1">
      <alignment horizontal="right" readingOrder="0" shrinkToFit="0" vertical="center" wrapText="1"/>
    </xf>
    <xf borderId="0" fillId="0" fontId="24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7" numFmtId="0" xfId="0" applyAlignment="1" applyFont="1">
      <alignment horizontal="right" vertical="center"/>
    </xf>
    <xf borderId="0" fillId="4" fontId="27" numFmtId="0" xfId="0" applyAlignment="1" applyFont="1">
      <alignment horizontal="right" vertical="center"/>
    </xf>
    <xf borderId="0" fillId="0" fontId="2" numFmtId="165" xfId="0" applyFont="1" applyNumberFormat="1"/>
    <xf borderId="0" fillId="0" fontId="2" numFmtId="0" xfId="0" applyFont="1"/>
    <xf borderId="0" fillId="0" fontId="15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right" shrinkToFit="0" vertical="center" wrapText="1"/>
    </xf>
    <xf borderId="4" fillId="0" fontId="2" numFmtId="165" xfId="0" applyAlignment="1" applyBorder="1" applyFont="1" applyNumberFormat="1">
      <alignment horizontal="right" readingOrder="0" shrinkToFit="0" vertical="center" wrapText="1"/>
    </xf>
    <xf borderId="5" fillId="0" fontId="2" numFmtId="165" xfId="0" applyAlignment="1" applyBorder="1" applyFont="1" applyNumberFormat="1">
      <alignment vertical="center"/>
    </xf>
    <xf borderId="0" fillId="0" fontId="24" numFmtId="0" xfId="0" applyAlignment="1" applyFont="1">
      <alignment shrinkToFit="0" vertical="top" wrapText="1"/>
    </xf>
    <xf borderId="0" fillId="0" fontId="2" numFmtId="165" xfId="0" applyAlignment="1" applyFont="1" applyNumberFormat="1">
      <alignment horizontal="right" shrinkToFit="0" vertical="center" wrapText="1"/>
    </xf>
    <xf quotePrefix="1" borderId="0" fillId="0" fontId="17" numFmtId="0" xfId="0" applyAlignment="1" applyFont="1">
      <alignment horizontal="right"/>
    </xf>
    <xf borderId="5" fillId="3" fontId="2" numFmtId="165" xfId="0" applyAlignment="1" applyBorder="1" applyFont="1" applyNumberFormat="1">
      <alignment vertical="center"/>
    </xf>
    <xf borderId="5" fillId="3" fontId="17" numFmtId="0" xfId="0" applyBorder="1" applyFont="1"/>
    <xf borderId="5" fillId="3" fontId="14" numFmtId="0" xfId="0" applyAlignment="1" applyBorder="1" applyFont="1">
      <alignment vertical="center"/>
    </xf>
    <xf borderId="5" fillId="0" fontId="2" numFmtId="0" xfId="0" applyAlignment="1" applyBorder="1" applyFont="1">
      <alignment shrinkToFit="0" vertical="center" wrapText="1"/>
    </xf>
    <xf borderId="0" fillId="10" fontId="2" numFmtId="0" xfId="0" applyFill="1" applyFont="1"/>
    <xf borderId="0" fillId="0" fontId="24" numFmtId="0" xfId="0" applyAlignment="1" applyFont="1">
      <alignment readingOrder="0" shrinkToFit="0" vertical="top" wrapText="1"/>
    </xf>
    <xf borderId="0" fillId="0" fontId="2" numFmtId="9" xfId="0" applyAlignment="1" applyFont="1" applyNumberForma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quotePrefix="1" borderId="0" fillId="0" fontId="17" numFmtId="0" xfId="0" applyAlignment="1" applyFont="1">
      <alignment horizontal="right" vertical="center"/>
    </xf>
    <xf borderId="0" fillId="3" fontId="2" numFmtId="165" xfId="0" applyFont="1" applyNumberFormat="1"/>
    <xf borderId="0" fillId="3" fontId="17" numFmtId="0" xfId="0" applyFont="1"/>
    <xf borderId="0" fillId="3" fontId="14" numFmtId="0" xfId="0" applyFont="1"/>
    <xf borderId="8" fillId="6" fontId="28" numFmtId="0" xfId="0" applyAlignment="1" applyBorder="1" applyFont="1">
      <alignment vertical="center"/>
    </xf>
    <xf borderId="8" fillId="6" fontId="19" numFmtId="0" xfId="0" applyAlignment="1" applyBorder="1" applyFont="1">
      <alignment readingOrder="0" vertical="center"/>
    </xf>
    <xf borderId="0" fillId="2" fontId="20" numFmtId="0" xfId="0" applyAlignment="1" applyFont="1">
      <alignment readingOrder="0" vertical="center"/>
    </xf>
    <xf borderId="0" fillId="7" fontId="19" numFmtId="0" xfId="0" applyAlignment="1" applyFont="1">
      <alignment readingOrder="0" vertical="center"/>
    </xf>
    <xf borderId="0" fillId="4" fontId="17" numFmtId="0" xfId="0" applyFont="1"/>
    <xf borderId="0" fillId="0" fontId="29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19" numFmtId="0" xfId="0" applyAlignment="1" applyFont="1">
      <alignment vertical="center"/>
    </xf>
    <xf borderId="0" fillId="0" fontId="13" numFmtId="0" xfId="0" applyAlignment="1" applyFont="1">
      <alignment readingOrder="0" shrinkToFit="0" vertical="center" wrapText="1"/>
    </xf>
    <xf borderId="4" fillId="2" fontId="2" numFmtId="165" xfId="0" applyAlignment="1" applyBorder="1" applyFont="1" applyNumberFormat="1">
      <alignment vertical="center"/>
    </xf>
    <xf borderId="0" fillId="0" fontId="15" numFmtId="0" xfId="0" applyAlignment="1" applyFont="1">
      <alignment shrinkToFit="0" wrapText="1"/>
    </xf>
    <xf borderId="0" fillId="0" fontId="31" numFmtId="0" xfId="0" applyAlignment="1" applyFont="1">
      <alignment horizontal="center" readingOrder="0" vertical="top"/>
    </xf>
    <xf borderId="0" fillId="0" fontId="32" numFmtId="0" xfId="0" applyAlignment="1" applyFont="1">
      <alignment horizontal="center"/>
    </xf>
    <xf borderId="0" fillId="4" fontId="2" numFmtId="0" xfId="0" applyAlignment="1" applyFont="1">
      <alignment horizontal="left"/>
    </xf>
    <xf borderId="0" fillId="0" fontId="33" numFmtId="0" xfId="0" applyAlignment="1" applyFont="1">
      <alignment horizontal="right" vertical="center"/>
    </xf>
    <xf borderId="1" fillId="11" fontId="2" numFmtId="0" xfId="0" applyAlignment="1" applyBorder="1" applyFill="1" applyFont="1">
      <alignment horizontal="center" vertical="center"/>
    </xf>
    <xf quotePrefix="1" borderId="0" fillId="0" fontId="2" numFmtId="0" xfId="0" applyAlignment="1" applyFont="1">
      <alignment vertical="center"/>
    </xf>
    <xf borderId="0" fillId="0" fontId="2" numFmtId="10" xfId="0" applyFont="1" applyNumberFormat="1"/>
    <xf borderId="0" fillId="0" fontId="2" numFmtId="0" xfId="0" applyAlignment="1" applyFont="1">
      <alignment horizontal="left"/>
    </xf>
    <xf borderId="0" fillId="0" fontId="34" numFmtId="0" xfId="0" applyAlignment="1" applyFont="1">
      <alignment horizontal="center"/>
    </xf>
    <xf borderId="0" fillId="0" fontId="35" numFmtId="10" xfId="0" applyAlignment="1" applyFont="1" applyNumberFormat="1">
      <alignment horizontal="center"/>
    </xf>
    <xf borderId="0" fillId="0" fontId="13" numFmtId="0" xfId="0" applyFont="1"/>
    <xf borderId="0" fillId="0" fontId="13" numFmtId="164" xfId="0" applyFont="1" applyNumberFormat="1"/>
    <xf borderId="0" fillId="2" fontId="13" numFmtId="164" xfId="0" applyAlignment="1" applyFont="1" applyNumberFormat="1">
      <alignment readingOrder="0"/>
    </xf>
    <xf borderId="0" fillId="4" fontId="13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0" fillId="0" fontId="13" numFmtId="0" xfId="0" applyAlignment="1" applyFont="1">
      <alignment shrinkToFit="0" vertical="top" wrapText="1"/>
    </xf>
    <xf borderId="18" fillId="0" fontId="13" numFmtId="0" xfId="0" applyBorder="1" applyFont="1"/>
    <xf borderId="18" fillId="0" fontId="13" numFmtId="164" xfId="0" applyBorder="1" applyFont="1" applyNumberFormat="1"/>
    <xf borderId="18" fillId="2" fontId="13" numFmtId="164" xfId="0" applyBorder="1" applyFont="1" applyNumberFormat="1"/>
    <xf borderId="18" fillId="0" fontId="36" numFmtId="0" xfId="0" applyAlignment="1" applyBorder="1" applyFont="1">
      <alignment horizontal="center"/>
    </xf>
    <xf borderId="18" fillId="4" fontId="37" numFmtId="0" xfId="0" applyAlignment="1" applyBorder="1" applyFont="1">
      <alignment horizontal="center"/>
    </xf>
    <xf borderId="18" fillId="0" fontId="38" numFmtId="0" xfId="0" applyAlignment="1" applyBorder="1" applyFont="1">
      <alignment horizontal="center"/>
    </xf>
    <xf borderId="18" fillId="0" fontId="13" numFmtId="0" xfId="0" applyAlignment="1" applyBorder="1" applyFont="1">
      <alignment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0" fontId="2" numFmtId="164" xfId="0" applyBorder="1" applyFont="1" applyNumberFormat="1"/>
    <xf borderId="21" fillId="0" fontId="2" numFmtId="165" xfId="0" applyBorder="1" applyFont="1" applyNumberFormat="1"/>
    <xf borderId="22" fillId="2" fontId="2" numFmtId="10" xfId="0" applyAlignment="1" applyBorder="1" applyFont="1" applyNumberFormat="1">
      <alignment readingOrder="0"/>
    </xf>
    <xf borderId="23" fillId="0" fontId="2" numFmtId="0" xfId="0" applyBorder="1" applyFont="1"/>
    <xf borderId="24" fillId="0" fontId="2" numFmtId="165" xfId="0" applyBorder="1" applyFont="1" applyNumberFormat="1"/>
    <xf borderId="25" fillId="2" fontId="2" numFmtId="10" xfId="0" applyAlignment="1" applyBorder="1" applyFont="1" applyNumberFormat="1">
      <alignment readingOrder="0"/>
    </xf>
    <xf borderId="0" fillId="0" fontId="2" numFmtId="164" xfId="0" applyFont="1" applyNumberFormat="1"/>
    <xf borderId="25" fillId="2" fontId="2" numFmtId="10" xfId="0" applyBorder="1" applyFont="1" applyNumberFormat="1"/>
    <xf borderId="0" fillId="4" fontId="13" numFmtId="0" xfId="0" applyAlignment="1" applyFont="1">
      <alignment horizontal="left"/>
    </xf>
    <xf borderId="0" fillId="0" fontId="13" numFmtId="0" xfId="0" applyAlignment="1" applyFont="1">
      <alignment horizontal="left"/>
    </xf>
    <xf borderId="23" fillId="11" fontId="2" numFmtId="0" xfId="0" applyBorder="1" applyFont="1"/>
    <xf borderId="26" fillId="2" fontId="2" numFmtId="10" xfId="0" applyBorder="1" applyFont="1" applyNumberFormat="1"/>
    <xf borderId="24" fillId="2" fontId="2" numFmtId="165" xfId="0" applyBorder="1" applyFont="1" applyNumberFormat="1"/>
    <xf borderId="0" fillId="4" fontId="13" numFmtId="164" xfId="0" applyAlignment="1" applyFont="1" applyNumberFormat="1">
      <alignment horizontal="left"/>
    </xf>
    <xf borderId="0" fillId="0" fontId="13" numFmtId="165" xfId="0" applyAlignment="1" applyFont="1" applyNumberFormat="1">
      <alignment horizontal="left"/>
    </xf>
    <xf borderId="0" fillId="0" fontId="39" numFmtId="165" xfId="0" applyAlignment="1" applyFont="1" applyNumberFormat="1">
      <alignment horizontal="left"/>
    </xf>
    <xf borderId="27" fillId="0" fontId="2" numFmtId="0" xfId="0" applyBorder="1" applyFont="1"/>
    <xf borderId="18" fillId="0" fontId="2" numFmtId="164" xfId="0" applyBorder="1" applyFont="1" applyNumberFormat="1"/>
    <xf borderId="28" fillId="2" fontId="2" numFmtId="165" xfId="0" applyBorder="1" applyFont="1" applyNumberFormat="1"/>
    <xf borderId="0" fillId="5" fontId="40" numFmtId="0" xfId="0" applyFont="1"/>
    <xf borderId="0" fillId="5" fontId="40" numFmtId="164" xfId="0" applyFont="1" applyNumberFormat="1"/>
    <xf borderId="0" fillId="5" fontId="40" numFmtId="165" xfId="0" applyFont="1" applyNumberFormat="1"/>
    <xf borderId="18" fillId="0" fontId="7" numFmtId="0" xfId="0" applyBorder="1" applyFont="1"/>
    <xf borderId="18" fillId="0" fontId="41" numFmtId="0" xfId="0" applyAlignment="1" applyBorder="1" applyFont="1">
      <alignment horizontal="center"/>
    </xf>
    <xf borderId="0" fillId="11" fontId="2" numFmtId="0" xfId="0" applyFont="1"/>
    <xf borderId="24" fillId="2" fontId="2" numFmtId="164" xfId="0" applyAlignment="1" applyBorder="1" applyFont="1" applyNumberFormat="1">
      <alignment horizontal="right"/>
    </xf>
    <xf borderId="0" fillId="4" fontId="13" numFmtId="0" xfId="0" applyFont="1"/>
    <xf borderId="23" fillId="0" fontId="2" numFmtId="0" xfId="0" applyAlignment="1" applyBorder="1" applyFont="1">
      <alignment vertical="center"/>
    </xf>
    <xf borderId="24" fillId="0" fontId="2" numFmtId="165" xfId="0" applyAlignment="1" applyBorder="1" applyFont="1" applyNumberFormat="1">
      <alignment vertical="center"/>
    </xf>
    <xf borderId="0" fillId="0" fontId="2" numFmtId="10" xfId="0" applyAlignment="1" applyFont="1" applyNumberFormat="1">
      <alignment vertical="center"/>
    </xf>
    <xf borderId="0" fillId="4" fontId="2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quotePrefix="1" borderId="0" fillId="0" fontId="13" numFmtId="0" xfId="0" applyAlignment="1" applyFont="1">
      <alignment shrinkToFit="0" vertical="top" wrapText="1"/>
    </xf>
    <xf borderId="24" fillId="2" fontId="2" numFmtId="165" xfId="0" applyAlignment="1" applyBorder="1" applyFont="1" applyNumberFormat="1">
      <alignment readingOrder="0"/>
    </xf>
    <xf borderId="0" fillId="8" fontId="42" numFmtId="0" xfId="0" applyFont="1"/>
    <xf borderId="23" fillId="11" fontId="43" numFmtId="0" xfId="0" applyBorder="1" applyFont="1"/>
    <xf borderId="0" fillId="6" fontId="44" numFmtId="0" xfId="0" applyAlignment="1" applyFont="1">
      <alignment horizontal="center" shrinkToFit="0" vertical="top" wrapText="1"/>
    </xf>
    <xf quotePrefix="1" borderId="0" fillId="6" fontId="19" numFmtId="0" xfId="0" applyAlignment="1" applyFont="1">
      <alignment horizontal="center" vertical="center"/>
    </xf>
    <xf borderId="0" fillId="6" fontId="44" numFmtId="165" xfId="0" applyAlignment="1" applyFont="1" applyNumberFormat="1">
      <alignment horizontal="right" vertical="center"/>
    </xf>
    <xf borderId="4" fillId="2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4" fontId="14" numFmtId="0" xfId="0" applyAlignment="1" applyFont="1">
      <alignment vertical="center"/>
    </xf>
    <xf borderId="0" fillId="4" fontId="2" numFmtId="164" xfId="0" applyAlignment="1" applyFont="1" applyNumberFormat="1">
      <alignment vertical="center"/>
    </xf>
    <xf borderId="0" fillId="4" fontId="2" numFmtId="0" xfId="0" applyAlignment="1" applyFont="1">
      <alignment vertical="center"/>
    </xf>
    <xf borderId="4" fillId="2" fontId="2" numFmtId="10" xfId="0" applyAlignment="1" applyBorder="1" applyFont="1" applyNumberFormat="1">
      <alignment vertical="center"/>
    </xf>
    <xf borderId="0" fillId="0" fontId="45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24" numFmtId="0" xfId="0" applyAlignment="1" applyFont="1">
      <alignment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4" fontId="2" numFmtId="10" xfId="0" applyAlignment="1" applyFont="1" applyNumberFormat="1">
      <alignment vertical="center"/>
    </xf>
    <xf borderId="0" fillId="0" fontId="15" numFmtId="0" xfId="0" applyAlignment="1" applyFont="1">
      <alignment shrinkToFit="0" vertical="top" wrapText="1"/>
    </xf>
    <xf borderId="4" fillId="2" fontId="17" numFmtId="0" xfId="0" applyAlignment="1" applyBorder="1" applyFont="1">
      <alignment horizontal="right" vertical="center"/>
    </xf>
    <xf borderId="0" fillId="0" fontId="46" numFmtId="0" xfId="0" applyAlignment="1" applyFont="1">
      <alignment horizontal="center" readingOrder="0" vertical="center"/>
    </xf>
    <xf borderId="4" fillId="2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vertical="center"/>
    </xf>
    <xf borderId="4" fillId="2" fontId="2" numFmtId="10" xfId="0" applyAlignment="1" applyBorder="1" applyFont="1" applyNumberFormat="1">
      <alignment horizontal="right" shrinkToFit="0" vertical="center" wrapText="1"/>
    </xf>
    <xf borderId="5" fillId="0" fontId="2" numFmtId="0" xfId="0" applyAlignment="1" applyBorder="1" applyFont="1">
      <alignment horizontal="center" vertical="center"/>
    </xf>
    <xf borderId="4" fillId="0" fontId="2" numFmtId="165" xfId="0" applyAlignment="1" applyBorder="1" applyFont="1" applyNumberFormat="1">
      <alignment horizontal="right" shrinkToFit="0" vertical="center" wrapText="1"/>
    </xf>
    <xf borderId="0" fillId="3" fontId="2" numFmtId="165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3" fontId="14" numFmtId="0" xfId="0" applyAlignment="1" applyFont="1">
      <alignment vertical="center"/>
    </xf>
    <xf borderId="0" fillId="0" fontId="2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4" numFmtId="164" xfId="0" applyAlignment="1" applyFont="1" applyNumberFormat="1">
      <alignment horizontal="left" shrinkToFit="0" vertical="center" wrapText="1"/>
    </xf>
    <xf borderId="0" fillId="0" fontId="31" numFmtId="0" xfId="0" applyAlignment="1" applyFont="1">
      <alignment horizontal="center" readingOrder="0"/>
    </xf>
    <xf borderId="0" fillId="2" fontId="13" numFmtId="164" xfId="0" applyFont="1" applyNumberFormat="1"/>
    <xf borderId="22" fillId="2" fontId="2" numFmtId="10" xfId="0" applyBorder="1" applyFont="1" applyNumberFormat="1"/>
    <xf borderId="24" fillId="2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repairs.jvwithcashflowsociety.com/" TargetMode="External"/><Relationship Id="rId3" Type="http://schemas.openxmlformats.org/officeDocument/2006/relationships/hyperlink" Target="https://drive.google.com/file/d/1wZn_BxlVp645KZ_vg1ZEpkLvWQMIYv9p/view?usp=sharing" TargetMode="External"/><Relationship Id="rId4" Type="http://schemas.openxmlformats.org/officeDocument/2006/relationships/hyperlink" Target="https://drive.google.com/file/d/1wZn_BxlVp645KZ_vg1ZEpkLvWQMIYv9p/view?usp=sharing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loansigningsystem.com/blog/notary-public-loan-signing-agent-training-what-is-an-attorney-state-versus-escrow-state" TargetMode="External"/><Relationship Id="rId3" Type="http://schemas.openxmlformats.org/officeDocument/2006/relationships/hyperlink" Target="https://www.revive.realestate/" TargetMode="External"/><Relationship Id="rId4" Type="http://schemas.openxmlformats.org/officeDocument/2006/relationships/hyperlink" Target="https://matterport.com/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investopedia.com/terms/c/capitalizationrate.asp" TargetMode="External"/><Relationship Id="rId3" Type="http://schemas.openxmlformats.org/officeDocument/2006/relationships/hyperlink" Target="http://repairs.jvwithcashflowsociety.com/" TargetMode="External"/><Relationship Id="rId4" Type="http://schemas.openxmlformats.org/officeDocument/2006/relationships/hyperlink" Target="https://drive.google.com/file/d/1wZn_BxlVp645KZ_vg1ZEpkLvWQMIYv9p/view?usp=sharing" TargetMode="External"/><Relationship Id="rId5" Type="http://schemas.openxmlformats.org/officeDocument/2006/relationships/hyperlink" Target="https://drive.google.com/file/d/1wZn_BxlVp645KZ_vg1ZEpkLvWQMIYv9p/view?usp=sharing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loansigningsystem.com/blog/notary-public-loan-signing-agent-training-what-is-an-attorney-state-versus-escrow-state" TargetMode="External"/><Relationship Id="rId3" Type="http://schemas.openxmlformats.org/officeDocument/2006/relationships/hyperlink" Target="https://www.revive.realestate/" TargetMode="External"/><Relationship Id="rId4" Type="http://schemas.openxmlformats.org/officeDocument/2006/relationships/hyperlink" Target="https://matterport.com/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5.38"/>
    <col customWidth="1" min="2" max="2" width="1.38"/>
    <col customWidth="1" min="4" max="4" width="4.5"/>
    <col customWidth="1" min="5" max="5" width="0.75"/>
    <col customWidth="1" min="6" max="6" width="4.5"/>
    <col customWidth="1" min="7" max="7" width="17.75"/>
    <col customWidth="1" min="8" max="8" width="2.13"/>
    <col customWidth="1" min="9" max="9" width="27.38"/>
    <col customWidth="1" min="10" max="10" width="1.38"/>
    <col customWidth="1" min="11" max="11" width="26.63"/>
    <col customWidth="1" min="12" max="12" width="3.75"/>
  </cols>
  <sheetData>
    <row r="1" ht="15.75" customHeight="1">
      <c r="A1" s="1"/>
      <c r="B1" s="1"/>
      <c r="C1" s="1"/>
      <c r="D1" s="2"/>
      <c r="E1" s="2"/>
      <c r="F1" s="2"/>
      <c r="G1" s="3"/>
      <c r="H1" s="3"/>
      <c r="I1" s="4"/>
      <c r="J1" s="4"/>
      <c r="K1" s="5"/>
      <c r="L1" s="5"/>
    </row>
    <row r="2" ht="15.75" customHeight="1">
      <c r="B2" s="1"/>
      <c r="C2" s="1"/>
      <c r="D2" s="2"/>
      <c r="E2" s="2"/>
      <c r="F2" s="2"/>
      <c r="G2" s="3"/>
      <c r="H2" s="3"/>
      <c r="I2" s="4"/>
      <c r="J2" s="4"/>
      <c r="K2" s="5"/>
      <c r="L2" s="5"/>
    </row>
    <row r="3" ht="15.75" customHeight="1">
      <c r="B3" s="1"/>
      <c r="C3" s="6" t="s">
        <v>0</v>
      </c>
      <c r="L3" s="5"/>
    </row>
    <row r="4" ht="15.75" customHeight="1">
      <c r="B4" s="1"/>
      <c r="C4" s="1"/>
      <c r="D4" s="2"/>
      <c r="E4" s="2"/>
      <c r="F4" s="2"/>
      <c r="G4" s="3"/>
      <c r="H4" s="3"/>
      <c r="I4" s="4"/>
      <c r="J4" s="4"/>
      <c r="K4" s="5"/>
      <c r="L4" s="5"/>
    </row>
    <row r="5" ht="15.75" customHeight="1">
      <c r="B5" s="1"/>
      <c r="C5" s="7" t="s">
        <v>1</v>
      </c>
      <c r="E5" s="8" t="s">
        <v>2</v>
      </c>
      <c r="F5" s="9"/>
      <c r="G5" s="10"/>
      <c r="H5" s="11" t="s">
        <v>3</v>
      </c>
      <c r="I5" s="12" t="s">
        <v>4</v>
      </c>
      <c r="J5" s="13"/>
      <c r="K5" s="12"/>
      <c r="L5" s="5"/>
    </row>
    <row r="6" ht="15.75" customHeight="1">
      <c r="B6" s="1"/>
      <c r="C6" s="1"/>
      <c r="D6" s="2"/>
      <c r="E6" s="14" t="s">
        <v>5</v>
      </c>
      <c r="F6" s="9"/>
      <c r="G6" s="10"/>
      <c r="H6" s="15" t="s">
        <v>3</v>
      </c>
      <c r="I6" s="16" t="s">
        <v>6</v>
      </c>
      <c r="J6" s="13"/>
      <c r="K6" s="12"/>
      <c r="L6" s="5"/>
    </row>
    <row r="7" ht="15.75" customHeight="1">
      <c r="B7" s="1"/>
      <c r="C7" s="1"/>
      <c r="D7" s="2"/>
      <c r="E7" s="2"/>
      <c r="F7" s="2"/>
      <c r="G7" s="3"/>
      <c r="H7" s="3"/>
      <c r="I7" s="4"/>
      <c r="J7" s="4"/>
      <c r="K7" s="5"/>
      <c r="L7" s="5"/>
    </row>
    <row r="8" ht="3.75" customHeight="1">
      <c r="A8" s="17"/>
      <c r="B8" s="17"/>
      <c r="C8" s="17"/>
      <c r="D8" s="18"/>
      <c r="E8" s="18"/>
      <c r="F8" s="18"/>
      <c r="G8" s="19"/>
      <c r="H8" s="19"/>
      <c r="I8" s="20"/>
      <c r="J8" s="20"/>
      <c r="K8" s="21"/>
      <c r="L8" s="21"/>
    </row>
    <row r="9" ht="15.75" customHeight="1">
      <c r="A9" s="1"/>
      <c r="B9" s="1"/>
      <c r="C9" s="1"/>
      <c r="D9" s="2"/>
      <c r="E9" s="18"/>
      <c r="F9" s="2"/>
      <c r="G9" s="3"/>
      <c r="H9" s="3"/>
      <c r="I9" s="4"/>
      <c r="J9" s="4"/>
      <c r="K9" s="5"/>
      <c r="L9" s="5"/>
    </row>
    <row r="10" ht="15.75" customHeight="1">
      <c r="A10" s="22" t="s">
        <v>7</v>
      </c>
      <c r="E10" s="18"/>
      <c r="F10" s="2"/>
      <c r="G10" s="23" t="s">
        <v>8</v>
      </c>
      <c r="L10" s="12"/>
    </row>
    <row r="11" ht="15.75" customHeight="1">
      <c r="A11" s="24" t="s">
        <v>9</v>
      </c>
      <c r="E11" s="18"/>
      <c r="F11" s="2"/>
      <c r="G11" s="12"/>
      <c r="H11" s="12"/>
      <c r="I11" s="12"/>
      <c r="J11" s="12"/>
      <c r="K11" s="12"/>
      <c r="L11" s="12"/>
    </row>
    <row r="12" ht="15.75" customHeight="1">
      <c r="A12" s="25"/>
      <c r="B12" s="26"/>
      <c r="C12" s="26"/>
      <c r="D12" s="2"/>
      <c r="E12" s="18"/>
      <c r="F12" s="2"/>
      <c r="G12" s="27">
        <f>C13</f>
        <v>200000</v>
      </c>
      <c r="H12" s="12"/>
      <c r="I12" s="12" t="s">
        <v>10</v>
      </c>
      <c r="L12" s="12"/>
    </row>
    <row r="13" ht="15.75" customHeight="1">
      <c r="A13" s="28" t="s">
        <v>11</v>
      </c>
      <c r="B13" s="26"/>
      <c r="C13" s="29">
        <v>200000.0</v>
      </c>
      <c r="D13" s="2"/>
      <c r="E13" s="18"/>
      <c r="F13" s="30" t="s">
        <v>12</v>
      </c>
      <c r="G13" s="31">
        <f>C41</f>
        <v>0.7</v>
      </c>
      <c r="H13" s="32"/>
      <c r="I13" s="32" t="s">
        <v>13</v>
      </c>
      <c r="J13" s="33"/>
      <c r="K13" s="33"/>
      <c r="L13" s="12"/>
    </row>
    <row r="14" ht="15.75" customHeight="1">
      <c r="A14" s="12"/>
      <c r="B14" s="26"/>
      <c r="C14" s="26"/>
      <c r="D14" s="2"/>
      <c r="E14" s="18"/>
      <c r="F14" s="30" t="s">
        <v>3</v>
      </c>
      <c r="G14" s="27">
        <f>G12*G13</f>
        <v>140000</v>
      </c>
      <c r="H14" s="12"/>
      <c r="I14" s="12" t="s">
        <v>14</v>
      </c>
      <c r="L14" s="12"/>
    </row>
    <row r="15" ht="15.75" customHeight="1">
      <c r="A15" s="28" t="s">
        <v>15</v>
      </c>
      <c r="B15" s="26"/>
      <c r="C15" s="34">
        <v>30000.0</v>
      </c>
      <c r="D15" s="2"/>
      <c r="E15" s="18"/>
      <c r="F15" s="30" t="s">
        <v>16</v>
      </c>
      <c r="G15" s="27">
        <f>C15</f>
        <v>30000</v>
      </c>
      <c r="H15" s="12"/>
      <c r="I15" s="12" t="s">
        <v>17</v>
      </c>
      <c r="L15" s="12"/>
    </row>
    <row r="16" ht="15.75" customHeight="1">
      <c r="A16" s="35" t="s">
        <v>18</v>
      </c>
      <c r="D16" s="2"/>
      <c r="E16" s="18"/>
      <c r="F16" s="30" t="s">
        <v>16</v>
      </c>
      <c r="G16" s="27">
        <f>IF(C26="Yes",C18,0)</f>
        <v>0</v>
      </c>
      <c r="H16" s="12"/>
      <c r="I16" s="12" t="s">
        <v>19</v>
      </c>
      <c r="L16" s="12"/>
    </row>
    <row r="17" ht="15.75" customHeight="1">
      <c r="D17" s="2"/>
      <c r="E17" s="18"/>
      <c r="F17" s="36" t="s">
        <v>20</v>
      </c>
      <c r="G17" s="37">
        <f>IF(C26="Yes",C23,0)</f>
        <v>0</v>
      </c>
      <c r="H17" s="38"/>
      <c r="I17" s="38" t="s">
        <v>21</v>
      </c>
      <c r="J17" s="39"/>
      <c r="K17" s="39"/>
    </row>
    <row r="18" ht="15.75" customHeight="1">
      <c r="A18" s="28" t="s">
        <v>22</v>
      </c>
      <c r="B18" s="26"/>
      <c r="C18" s="34">
        <v>0.0</v>
      </c>
      <c r="D18" s="2"/>
      <c r="E18" s="18"/>
      <c r="F18" s="30" t="s">
        <v>3</v>
      </c>
      <c r="G18" s="27">
        <f>G14-G15-G16+G17</f>
        <v>110000</v>
      </c>
      <c r="H18" s="12"/>
      <c r="I18" s="12" t="s">
        <v>23</v>
      </c>
      <c r="L18" s="12"/>
    </row>
    <row r="19" ht="15.75" customHeight="1">
      <c r="A19" s="40" t="s">
        <v>24</v>
      </c>
      <c r="B19" s="41"/>
      <c r="C19" s="41"/>
      <c r="D19" s="2"/>
      <c r="E19" s="18"/>
      <c r="F19" s="30" t="s">
        <v>16</v>
      </c>
      <c r="G19" s="27">
        <f>C53</f>
        <v>15000</v>
      </c>
      <c r="H19" s="12"/>
      <c r="I19" s="12" t="s">
        <v>25</v>
      </c>
      <c r="L19" s="12"/>
    </row>
    <row r="20" ht="15.75" customHeight="1">
      <c r="B20" s="41"/>
      <c r="C20" s="41"/>
      <c r="D20" s="2"/>
      <c r="E20" s="18"/>
      <c r="F20" s="30" t="s">
        <v>3</v>
      </c>
      <c r="G20" s="42">
        <f>G18-G19</f>
        <v>95000</v>
      </c>
      <c r="H20" s="43"/>
      <c r="I20" s="43" t="s">
        <v>26</v>
      </c>
      <c r="J20" s="44"/>
      <c r="K20" s="45"/>
      <c r="L20" s="12"/>
    </row>
    <row r="21" ht="15.75" customHeight="1">
      <c r="B21" s="41"/>
      <c r="C21" s="41"/>
      <c r="D21" s="2"/>
      <c r="E21" s="18"/>
      <c r="F21" s="2"/>
      <c r="G21" s="46">
        <f>G20*95%</f>
        <v>90250</v>
      </c>
      <c r="H21" s="47"/>
      <c r="I21" s="48" t="s">
        <v>27</v>
      </c>
      <c r="L21" s="12"/>
    </row>
    <row r="22" ht="15.75" customHeight="1">
      <c r="B22" s="41"/>
      <c r="C22" s="41"/>
      <c r="D22" s="2"/>
      <c r="E22" s="18"/>
      <c r="F22" s="2"/>
      <c r="G22" s="49">
        <f>G20*85%</f>
        <v>80750</v>
      </c>
      <c r="H22" s="50"/>
      <c r="I22" s="50" t="s">
        <v>28</v>
      </c>
      <c r="J22" s="50"/>
      <c r="K22" s="50"/>
    </row>
    <row r="23" ht="15.75" customHeight="1">
      <c r="A23" s="28" t="s">
        <v>29</v>
      </c>
      <c r="C23" s="34"/>
      <c r="D23" s="2"/>
      <c r="E23" s="18"/>
      <c r="F23" s="2"/>
      <c r="G23" s="51">
        <f>G20*65%</f>
        <v>61750</v>
      </c>
      <c r="H23" s="52"/>
      <c r="I23" s="52" t="s">
        <v>30</v>
      </c>
      <c r="J23" s="52"/>
      <c r="K23" s="52"/>
    </row>
    <row r="24" ht="15.75" customHeight="1">
      <c r="A24" s="53" t="s">
        <v>31</v>
      </c>
      <c r="D24" s="2"/>
      <c r="E24" s="18"/>
      <c r="F24" s="2"/>
      <c r="G24" s="54" t="s">
        <v>32</v>
      </c>
    </row>
    <row r="25" ht="15.75" customHeight="1">
      <c r="D25" s="2"/>
      <c r="E25" s="18"/>
      <c r="F25" s="2"/>
    </row>
    <row r="26" ht="15.75" customHeight="1">
      <c r="A26" s="55" t="s">
        <v>33</v>
      </c>
      <c r="C26" s="56" t="s">
        <v>34</v>
      </c>
      <c r="D26" s="2"/>
      <c r="E26" s="18"/>
      <c r="F26" s="2"/>
      <c r="G26" s="57"/>
      <c r="H26" s="57"/>
      <c r="I26" s="57"/>
      <c r="J26" s="57"/>
      <c r="K26" s="57"/>
    </row>
    <row r="27" ht="15.75" customHeight="1">
      <c r="C27" s="58"/>
      <c r="D27" s="2"/>
      <c r="E27" s="18"/>
      <c r="F27" s="2"/>
      <c r="G27" s="59">
        <f>G20/G12</f>
        <v>0.475</v>
      </c>
      <c r="H27" s="60" t="s">
        <v>3</v>
      </c>
      <c r="I27" s="61" t="s">
        <v>35</v>
      </c>
      <c r="L27" s="61"/>
    </row>
    <row r="28" ht="15.75" customHeight="1">
      <c r="C28" s="58"/>
      <c r="D28" s="2"/>
      <c r="E28" s="18"/>
      <c r="F28" s="2"/>
      <c r="G28" s="59">
        <f>1-G27</f>
        <v>0.525</v>
      </c>
      <c r="H28" s="60" t="s">
        <v>3</v>
      </c>
      <c r="I28" s="62" t="s">
        <v>36</v>
      </c>
      <c r="L28" s="62"/>
    </row>
    <row r="29" ht="15.75" customHeight="1">
      <c r="A29" s="28" t="s">
        <v>37</v>
      </c>
      <c r="B29" s="26"/>
      <c r="C29" s="63">
        <f>C13-C15-C18+C23</f>
        <v>170000</v>
      </c>
      <c r="D29" s="2"/>
      <c r="E29" s="18"/>
      <c r="F29" s="2"/>
      <c r="G29" s="64">
        <f>G12-G15-G20</f>
        <v>75000</v>
      </c>
      <c r="H29" s="60" t="s">
        <v>3</v>
      </c>
      <c r="I29" s="61" t="s">
        <v>38</v>
      </c>
    </row>
    <row r="30" ht="15.75" customHeight="1">
      <c r="C30" s="58"/>
      <c r="D30" s="2"/>
      <c r="E30" s="18"/>
    </row>
    <row r="31" ht="15.75" customHeight="1">
      <c r="A31" s="28" t="s">
        <v>39</v>
      </c>
      <c r="B31" s="26"/>
      <c r="C31" s="65">
        <v>10000.0</v>
      </c>
      <c r="D31" s="2"/>
      <c r="E31" s="18"/>
      <c r="F31" s="18"/>
      <c r="G31" s="66"/>
      <c r="H31" s="67"/>
      <c r="I31" s="68"/>
      <c r="J31" s="68"/>
      <c r="K31" s="68"/>
      <c r="L31" s="68"/>
    </row>
    <row r="32" ht="15.75" customHeight="1">
      <c r="A32" s="69" t="s">
        <v>40</v>
      </c>
      <c r="C32" s="58"/>
      <c r="D32" s="2"/>
      <c r="E32" s="18"/>
      <c r="F32" s="70" t="s">
        <v>41</v>
      </c>
      <c r="G32" s="71"/>
      <c r="H32" s="71"/>
      <c r="I32" s="71"/>
      <c r="J32" s="71"/>
      <c r="K32" s="72"/>
      <c r="L32" s="73"/>
    </row>
    <row r="33" ht="15.75" customHeight="1">
      <c r="C33" s="58"/>
      <c r="D33" s="2"/>
      <c r="E33" s="18"/>
      <c r="F33" s="74"/>
      <c r="K33" s="75"/>
      <c r="L33" s="73"/>
    </row>
    <row r="34" ht="15.75" customHeight="1">
      <c r="A34" s="76"/>
      <c r="C34" s="58"/>
      <c r="D34" s="2"/>
      <c r="E34" s="18"/>
      <c r="F34" s="74"/>
      <c r="K34" s="75"/>
      <c r="L34" s="73"/>
    </row>
    <row r="35" ht="15.75" customHeight="1">
      <c r="A35" s="28" t="s">
        <v>42</v>
      </c>
      <c r="B35" s="12"/>
      <c r="C35" s="34">
        <v>10000.0</v>
      </c>
      <c r="D35" s="2"/>
      <c r="E35" s="18"/>
      <c r="F35" s="74"/>
      <c r="K35" s="75"/>
    </row>
    <row r="36" ht="15.75" customHeight="1">
      <c r="D36" s="2"/>
      <c r="E36" s="18"/>
      <c r="F36" s="77"/>
      <c r="G36" s="78"/>
      <c r="H36" s="78"/>
      <c r="I36" s="78"/>
      <c r="J36" s="78"/>
      <c r="K36" s="79"/>
    </row>
    <row r="37" ht="15.75" customHeight="1">
      <c r="A37" s="28" t="s">
        <v>43</v>
      </c>
      <c r="B37" s="12"/>
      <c r="C37" s="80" t="s">
        <v>44</v>
      </c>
      <c r="D37" s="2"/>
      <c r="E37" s="18"/>
      <c r="L37" s="12"/>
    </row>
    <row r="38" ht="15.75" customHeight="1">
      <c r="D38" s="2"/>
      <c r="E38" s="18"/>
      <c r="F38" s="2"/>
      <c r="G38" s="81" t="s">
        <v>45</v>
      </c>
      <c r="L38" s="12"/>
    </row>
    <row r="39" ht="15.75" customHeight="1">
      <c r="A39" s="82" t="s">
        <v>46</v>
      </c>
      <c r="B39" s="83"/>
      <c r="C39" s="84">
        <f>IF(C37="No",C29,(C29-C35))</f>
        <v>160000</v>
      </c>
      <c r="D39" s="2"/>
      <c r="E39" s="18"/>
      <c r="F39" s="2"/>
      <c r="G39" s="23"/>
      <c r="H39" s="23"/>
      <c r="I39" s="23"/>
      <c r="J39" s="23"/>
      <c r="K39" s="23"/>
      <c r="L39" s="12"/>
    </row>
    <row r="40" ht="15.75" customHeight="1">
      <c r="D40" s="2"/>
      <c r="E40" s="18"/>
      <c r="F40" s="2"/>
      <c r="G40" s="27">
        <f>C13</f>
        <v>200000</v>
      </c>
      <c r="H40" s="12"/>
      <c r="I40" s="12" t="s">
        <v>10</v>
      </c>
      <c r="L40" s="12"/>
    </row>
    <row r="41" ht="15.75" customHeight="1">
      <c r="A41" s="55" t="s">
        <v>47</v>
      </c>
      <c r="B41" s="85"/>
      <c r="C41" s="86">
        <v>0.7</v>
      </c>
      <c r="D41" s="2" t="s">
        <v>48</v>
      </c>
      <c r="E41" s="18"/>
      <c r="F41" s="30" t="s">
        <v>16</v>
      </c>
      <c r="G41" s="27">
        <f>C15</f>
        <v>30000</v>
      </c>
      <c r="H41" s="12"/>
      <c r="I41" s="12" t="s">
        <v>17</v>
      </c>
      <c r="L41" s="12"/>
    </row>
    <row r="42" ht="15.75" customHeight="1">
      <c r="A42" s="87" t="s">
        <v>49</v>
      </c>
      <c r="B42" s="88"/>
      <c r="C42" s="88"/>
      <c r="D42" s="89"/>
      <c r="E42" s="90"/>
      <c r="F42" s="30" t="s">
        <v>16</v>
      </c>
      <c r="G42" s="27">
        <f>C18</f>
        <v>0</v>
      </c>
      <c r="H42" s="12"/>
      <c r="I42" s="12" t="s">
        <v>19</v>
      </c>
      <c r="L42" s="12"/>
    </row>
    <row r="43" ht="15.75" customHeight="1">
      <c r="D43" s="2"/>
      <c r="E43" s="18"/>
      <c r="F43" s="30" t="s">
        <v>20</v>
      </c>
      <c r="G43" s="91" t="str">
        <f>C23</f>
        <v/>
      </c>
      <c r="H43" s="92"/>
      <c r="I43" s="92" t="s">
        <v>21</v>
      </c>
    </row>
    <row r="44" ht="15.75" customHeight="1">
      <c r="A44" s="93" t="s">
        <v>50</v>
      </c>
      <c r="B44" s="94"/>
      <c r="C44" s="95">
        <f>SUM('Closing Fees &amp; Out Of Pocket Co'!C36)</f>
        <v>18400</v>
      </c>
      <c r="D44" s="2"/>
      <c r="E44" s="18"/>
      <c r="F44" s="30" t="s">
        <v>16</v>
      </c>
      <c r="G44" s="96">
        <f>IF(C37="Yes",C35,0)</f>
        <v>10000</v>
      </c>
      <c r="H44" s="32"/>
      <c r="I44" s="32" t="s">
        <v>51</v>
      </c>
      <c r="J44" s="39"/>
      <c r="K44" s="39"/>
    </row>
    <row r="45" ht="15.75" customHeight="1">
      <c r="A45" s="97" t="s">
        <v>52</v>
      </c>
      <c r="B45" s="94"/>
      <c r="C45" s="98"/>
      <c r="D45" s="2"/>
      <c r="E45" s="18"/>
      <c r="F45" s="30" t="s">
        <v>3</v>
      </c>
      <c r="G45" s="27">
        <f>G40-G41-G42+G43-G44</f>
        <v>160000</v>
      </c>
      <c r="H45" s="12"/>
      <c r="I45" s="12" t="s">
        <v>53</v>
      </c>
      <c r="J45" s="12"/>
      <c r="K45" s="12"/>
      <c r="L45" s="88"/>
    </row>
    <row r="46" ht="15.75" customHeight="1">
      <c r="B46" s="88"/>
      <c r="C46" s="88"/>
      <c r="D46" s="2"/>
      <c r="E46" s="18"/>
      <c r="F46" s="99" t="s">
        <v>20</v>
      </c>
      <c r="G46" s="100">
        <f>C62</f>
        <v>0</v>
      </c>
      <c r="H46" s="101"/>
      <c r="I46" s="102" t="s">
        <v>54</v>
      </c>
      <c r="J46" s="33"/>
      <c r="K46" s="33"/>
      <c r="L46" s="12"/>
    </row>
    <row r="47" ht="15.75" customHeight="1">
      <c r="D47" s="2"/>
      <c r="E47" s="18"/>
      <c r="F47" s="99" t="s">
        <v>3</v>
      </c>
      <c r="G47" s="91">
        <f>G45+G46</f>
        <v>160000</v>
      </c>
      <c r="I47" s="12" t="s">
        <v>55</v>
      </c>
      <c r="L47" s="12"/>
    </row>
    <row r="48" ht="15.75" customHeight="1">
      <c r="A48" s="28" t="s">
        <v>56</v>
      </c>
      <c r="B48" s="26"/>
      <c r="C48" s="65">
        <v>25000.0</v>
      </c>
      <c r="D48" s="2"/>
      <c r="E48" s="18"/>
      <c r="F48" s="30" t="s">
        <v>16</v>
      </c>
      <c r="G48" s="96">
        <f>C44</f>
        <v>18400</v>
      </c>
      <c r="H48" s="32"/>
      <c r="I48" s="103" t="s">
        <v>57</v>
      </c>
      <c r="J48" s="33"/>
      <c r="K48" s="33"/>
      <c r="L48" s="104"/>
    </row>
    <row r="49" ht="15.75" customHeight="1">
      <c r="A49" s="105" t="s">
        <v>58</v>
      </c>
      <c r="D49" s="2"/>
      <c r="E49" s="18"/>
      <c r="F49" s="30" t="s">
        <v>3</v>
      </c>
      <c r="G49" s="27">
        <f>G47-G48</f>
        <v>141600</v>
      </c>
      <c r="H49" s="12"/>
      <c r="I49" s="12" t="s">
        <v>59</v>
      </c>
      <c r="L49" s="12"/>
    </row>
    <row r="50" ht="15.75" customHeight="1">
      <c r="D50" s="2"/>
      <c r="E50" s="18"/>
      <c r="F50" s="30" t="s">
        <v>16</v>
      </c>
      <c r="G50" s="27">
        <f>C53</f>
        <v>15000</v>
      </c>
      <c r="H50" s="12"/>
      <c r="I50" s="12" t="s">
        <v>25</v>
      </c>
      <c r="L50" s="61"/>
    </row>
    <row r="51" ht="15.75" customHeight="1">
      <c r="B51" s="106"/>
      <c r="C51" s="106"/>
      <c r="D51" s="107"/>
      <c r="E51" s="18"/>
      <c r="F51" s="108" t="s">
        <v>20</v>
      </c>
      <c r="G51" s="109">
        <f>C65</f>
        <v>0</v>
      </c>
      <c r="H51" s="110"/>
      <c r="I51" s="111" t="s">
        <v>60</v>
      </c>
      <c r="L51" s="61"/>
    </row>
    <row r="52" ht="15.75" customHeight="1">
      <c r="B52" s="106"/>
      <c r="C52" s="106"/>
      <c r="D52" s="107"/>
      <c r="E52" s="18"/>
      <c r="F52" s="30" t="s">
        <v>3</v>
      </c>
      <c r="G52" s="42">
        <f>G49-G50+G51</f>
        <v>126600</v>
      </c>
      <c r="H52" s="112"/>
      <c r="I52" s="113" t="s">
        <v>61</v>
      </c>
      <c r="J52" s="44"/>
      <c r="K52" s="45"/>
      <c r="L52" s="61"/>
    </row>
    <row r="53" ht="15.75" customHeight="1">
      <c r="A53" s="28" t="s">
        <v>25</v>
      </c>
      <c r="B53" s="26"/>
      <c r="C53" s="34">
        <v>15000.0</v>
      </c>
      <c r="D53" s="2"/>
      <c r="E53" s="18"/>
      <c r="F53" s="2"/>
      <c r="G53" s="46">
        <f>G52*95%</f>
        <v>120270</v>
      </c>
      <c r="H53" s="47"/>
      <c r="I53" s="114" t="s">
        <v>62</v>
      </c>
      <c r="L53" s="61"/>
    </row>
    <row r="54" ht="15.75" customHeight="1">
      <c r="D54" s="2"/>
      <c r="E54" s="18"/>
      <c r="F54" s="2"/>
      <c r="G54" s="49">
        <f>G52*85%</f>
        <v>107610</v>
      </c>
      <c r="H54" s="50"/>
      <c r="I54" s="50" t="s">
        <v>63</v>
      </c>
      <c r="J54" s="50"/>
      <c r="K54" s="50"/>
      <c r="L54" s="61"/>
    </row>
    <row r="55" ht="15.75" customHeight="1">
      <c r="D55" s="2"/>
      <c r="E55" s="18"/>
      <c r="F55" s="2"/>
      <c r="G55" s="51">
        <f>G52*65%</f>
        <v>82290</v>
      </c>
      <c r="H55" s="52"/>
      <c r="I55" s="115" t="s">
        <v>64</v>
      </c>
      <c r="J55" s="52"/>
      <c r="K55" s="52"/>
      <c r="L55" s="61"/>
    </row>
    <row r="56" ht="15.75" customHeight="1">
      <c r="A56" s="116"/>
      <c r="B56" s="116"/>
      <c r="C56" s="116"/>
      <c r="D56" s="18"/>
      <c r="E56" s="18"/>
      <c r="F56" s="2"/>
      <c r="G56" s="117" t="s">
        <v>32</v>
      </c>
      <c r="L56" s="88"/>
    </row>
    <row r="57" ht="15.75" customHeight="1">
      <c r="D57" s="2"/>
      <c r="E57" s="18"/>
      <c r="F57" s="2"/>
    </row>
    <row r="58" ht="15.75" customHeight="1">
      <c r="A58" s="118" t="s">
        <v>65</v>
      </c>
      <c r="D58" s="2"/>
      <c r="E58" s="18"/>
      <c r="F58" s="2"/>
      <c r="G58" s="119"/>
      <c r="H58" s="119"/>
      <c r="I58" s="119"/>
      <c r="J58" s="119"/>
      <c r="K58" s="119"/>
    </row>
    <row r="59" ht="15.75" customHeight="1">
      <c r="D59" s="2"/>
      <c r="E59" s="18"/>
      <c r="F59" s="2"/>
      <c r="G59" s="59">
        <f>G52/G40</f>
        <v>0.633</v>
      </c>
      <c r="H59" s="60" t="s">
        <v>3</v>
      </c>
      <c r="I59" s="120" t="s">
        <v>66</v>
      </c>
    </row>
    <row r="60" ht="15.75" customHeight="1">
      <c r="D60" s="2"/>
      <c r="E60" s="18"/>
      <c r="F60" s="2"/>
      <c r="G60" s="64">
        <f>G52-G20</f>
        <v>31600</v>
      </c>
      <c r="H60" s="60" t="s">
        <v>3</v>
      </c>
      <c r="I60" s="120" t="s">
        <v>67</v>
      </c>
    </row>
    <row r="61" ht="15.75" customHeight="1">
      <c r="D61" s="2"/>
      <c r="E61" s="18"/>
    </row>
    <row r="62" ht="15.75" customHeight="1">
      <c r="A62" s="93" t="s">
        <v>68</v>
      </c>
      <c r="B62" s="94"/>
      <c r="C62" s="121">
        <v>0.0</v>
      </c>
      <c r="D62" s="2"/>
      <c r="E62" s="18"/>
    </row>
    <row r="63" ht="15.75" customHeight="1">
      <c r="B63" s="94"/>
      <c r="C63" s="26"/>
      <c r="D63" s="2"/>
      <c r="E63" s="18"/>
    </row>
    <row r="64" ht="15.75" customHeight="1">
      <c r="A64" s="55"/>
      <c r="B64" s="94"/>
      <c r="C64" s="94"/>
      <c r="D64" s="2"/>
      <c r="E64" s="18"/>
    </row>
    <row r="65" ht="15.75" customHeight="1">
      <c r="A65" s="122" t="s">
        <v>69</v>
      </c>
      <c r="B65" s="94"/>
      <c r="C65" s="121">
        <v>0.0</v>
      </c>
      <c r="D65" s="2"/>
      <c r="E65" s="18"/>
    </row>
    <row r="66" ht="15.75" customHeight="1">
      <c r="D66" s="2"/>
      <c r="E66" s="18"/>
    </row>
    <row r="67" ht="15.75" customHeight="1">
      <c r="A67" s="122"/>
      <c r="D67" s="2"/>
      <c r="E67" s="18"/>
    </row>
    <row r="68" ht="15.75" customHeight="1"/>
    <row r="69" ht="15.75" customHeight="1"/>
  </sheetData>
  <mergeCells count="44">
    <mergeCell ref="I40:K40"/>
    <mergeCell ref="I41:K41"/>
    <mergeCell ref="I42:K42"/>
    <mergeCell ref="A45:A46"/>
    <mergeCell ref="I46:K46"/>
    <mergeCell ref="I48:K48"/>
    <mergeCell ref="A49:A52"/>
    <mergeCell ref="I51:K51"/>
    <mergeCell ref="I52:K52"/>
    <mergeCell ref="I53:K53"/>
    <mergeCell ref="G56:K57"/>
    <mergeCell ref="A58:C60"/>
    <mergeCell ref="I59:K59"/>
    <mergeCell ref="I60:K60"/>
    <mergeCell ref="A1:A7"/>
    <mergeCell ref="C3:K3"/>
    <mergeCell ref="C5:D5"/>
    <mergeCell ref="E5:G5"/>
    <mergeCell ref="E6:G6"/>
    <mergeCell ref="A10:D10"/>
    <mergeCell ref="A11:D11"/>
    <mergeCell ref="I18:K18"/>
    <mergeCell ref="I19:K19"/>
    <mergeCell ref="I20:K20"/>
    <mergeCell ref="I21:K21"/>
    <mergeCell ref="G24:K25"/>
    <mergeCell ref="G10:K10"/>
    <mergeCell ref="I12:K12"/>
    <mergeCell ref="I13:K13"/>
    <mergeCell ref="I14:K14"/>
    <mergeCell ref="I15:K15"/>
    <mergeCell ref="I16:K16"/>
    <mergeCell ref="A19:A22"/>
    <mergeCell ref="A26:A27"/>
    <mergeCell ref="I27:K27"/>
    <mergeCell ref="I28:K28"/>
    <mergeCell ref="I29:L29"/>
    <mergeCell ref="A32:A33"/>
    <mergeCell ref="F32:K36"/>
    <mergeCell ref="G38:K38"/>
    <mergeCell ref="I49:K49"/>
    <mergeCell ref="I50:K50"/>
    <mergeCell ref="A62:A63"/>
    <mergeCell ref="A65:A66"/>
  </mergeCells>
  <dataValidations>
    <dataValidation type="list" allowBlank="1" sqref="C26 C37">
      <formula1>"Yes,No"</formula1>
    </dataValidation>
  </dataValidations>
  <hyperlinks>
    <hyperlink r:id="rId2" ref="A16"/>
    <hyperlink r:id="rId3" ref="G24"/>
    <hyperlink r:id="rId4" ref="G5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5"/>
    <col customWidth="1" min="2" max="2" width="1.38"/>
    <col customWidth="1" min="5" max="5" width="0.75"/>
    <col customWidth="1" min="6" max="6" width="50.25"/>
    <col customWidth="1" min="14" max="14" width="4.13"/>
  </cols>
  <sheetData>
    <row r="1" ht="15.75" customHeight="1">
      <c r="A1" s="123" t="s">
        <v>70</v>
      </c>
      <c r="D1" s="124"/>
      <c r="E1" s="125"/>
      <c r="F1" s="126" t="s">
        <v>71</v>
      </c>
      <c r="G1" s="127" t="s">
        <v>72</v>
      </c>
      <c r="H1" s="10"/>
      <c r="I1" s="128" t="s">
        <v>73</v>
      </c>
      <c r="L1" s="92"/>
      <c r="M1" s="92"/>
      <c r="N1" s="92"/>
      <c r="O1" s="92"/>
      <c r="P1" s="92"/>
      <c r="Q1" s="92"/>
      <c r="R1" s="92"/>
      <c r="S1" s="92"/>
      <c r="T1" s="92"/>
      <c r="U1" s="92"/>
    </row>
    <row r="2" ht="15.75" customHeight="1">
      <c r="D2" s="129"/>
      <c r="E2" s="125"/>
      <c r="F2" s="130"/>
      <c r="G2" s="8" t="s">
        <v>2</v>
      </c>
      <c r="H2" s="10"/>
      <c r="I2" s="128" t="s">
        <v>74</v>
      </c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</row>
    <row r="3" ht="15.75" customHeight="1">
      <c r="A3" s="131" t="s">
        <v>75</v>
      </c>
      <c r="D3" s="132"/>
      <c r="E3" s="125"/>
      <c r="F3" s="130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</row>
    <row r="4" ht="15.75" customHeight="1">
      <c r="A4" s="133" t="s">
        <v>76</v>
      </c>
      <c r="B4" s="134"/>
      <c r="C4" s="135" t="s">
        <v>77</v>
      </c>
      <c r="D4" s="129"/>
      <c r="E4" s="136"/>
      <c r="F4" s="137"/>
      <c r="G4" s="138"/>
      <c r="H4" s="138"/>
      <c r="I4" s="138"/>
      <c r="J4" s="138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ht="15.75" customHeight="1">
      <c r="A5" s="139" t="s">
        <v>78</v>
      </c>
      <c r="B5" s="140"/>
      <c r="C5" s="141">
        <v>500.0</v>
      </c>
      <c r="D5" s="142" t="s">
        <v>79</v>
      </c>
      <c r="E5" s="143"/>
      <c r="F5" s="144" t="s">
        <v>80</v>
      </c>
      <c r="G5" s="145"/>
      <c r="H5" s="145"/>
      <c r="I5" s="145"/>
      <c r="J5" s="145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ht="15.75" customHeight="1">
      <c r="A6" s="147" t="s">
        <v>81</v>
      </c>
      <c r="B6" s="148"/>
      <c r="C6" s="149">
        <f>IF(C4="Flat Fee",C5,('Offer Calculator'!G47*D6))</f>
        <v>3200</v>
      </c>
      <c r="D6" s="150">
        <v>0.02</v>
      </c>
      <c r="E6" s="136"/>
      <c r="F6" s="137" t="s">
        <v>82</v>
      </c>
      <c r="H6" s="138"/>
      <c r="I6" s="138"/>
      <c r="J6" s="138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</row>
    <row r="7" ht="15.75" customHeight="1">
      <c r="A7" s="151" t="s">
        <v>83</v>
      </c>
      <c r="B7" s="92"/>
      <c r="C7" s="152">
        <f>'Offer Calculator'!G47*D7</f>
        <v>3200</v>
      </c>
      <c r="D7" s="153">
        <v>0.02</v>
      </c>
      <c r="E7" s="136"/>
      <c r="F7" s="137" t="s">
        <v>84</v>
      </c>
      <c r="H7" s="138"/>
      <c r="I7" s="138"/>
      <c r="J7" s="138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</row>
    <row r="8" ht="15.75" customHeight="1">
      <c r="A8" s="151" t="s">
        <v>85</v>
      </c>
      <c r="B8" s="154"/>
      <c r="C8" s="152">
        <f>'Offer Calculator'!G47*D8</f>
        <v>1600</v>
      </c>
      <c r="D8" s="155">
        <v>0.01</v>
      </c>
      <c r="E8" s="136"/>
      <c r="F8" s="137" t="s">
        <v>86</v>
      </c>
      <c r="G8" s="138"/>
      <c r="H8" s="138"/>
      <c r="I8" s="138"/>
      <c r="J8" s="138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</row>
    <row r="9" ht="15.75" customHeight="1">
      <c r="A9" s="151" t="s">
        <v>87</v>
      </c>
      <c r="B9" s="154"/>
      <c r="C9" s="152">
        <f>'Offer Calculator'!G47*D9</f>
        <v>0</v>
      </c>
      <c r="D9" s="155">
        <v>0.0</v>
      </c>
      <c r="E9" s="156"/>
      <c r="F9" s="157" t="s">
        <v>88</v>
      </c>
      <c r="L9" s="92"/>
      <c r="M9" s="92"/>
      <c r="N9" s="92"/>
      <c r="O9" s="92"/>
      <c r="P9" s="92"/>
      <c r="Q9" s="92"/>
      <c r="R9" s="92"/>
      <c r="S9" s="92"/>
      <c r="T9" s="92"/>
      <c r="U9" s="92"/>
    </row>
    <row r="10" ht="15.75" customHeight="1">
      <c r="A10" s="158" t="s">
        <v>89</v>
      </c>
      <c r="B10" s="154"/>
      <c r="C10" s="152">
        <f>'Offer Calculator'!G47*D10</f>
        <v>400</v>
      </c>
      <c r="D10" s="159">
        <v>0.0025</v>
      </c>
      <c r="E10" s="156"/>
      <c r="F10" s="157" t="s">
        <v>90</v>
      </c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</row>
    <row r="11" ht="15.75" customHeight="1">
      <c r="A11" s="151" t="s">
        <v>91</v>
      </c>
      <c r="B11" s="154"/>
      <c r="C11" s="160">
        <v>0.0</v>
      </c>
      <c r="D11" s="129"/>
      <c r="E11" s="161"/>
      <c r="F11" s="162" t="s">
        <v>92</v>
      </c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</row>
    <row r="12" ht="15.75" customHeight="1">
      <c r="A12" s="158" t="s">
        <v>93</v>
      </c>
      <c r="B12" s="154"/>
      <c r="C12" s="160">
        <v>650.0</v>
      </c>
      <c r="D12" s="129"/>
      <c r="E12" s="161"/>
      <c r="F12" s="162" t="s">
        <v>94</v>
      </c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</row>
    <row r="13" ht="15.75" customHeight="1">
      <c r="A13" s="151" t="s">
        <v>95</v>
      </c>
      <c r="B13" s="154"/>
      <c r="C13" s="160">
        <v>500.0</v>
      </c>
      <c r="D13" s="129"/>
      <c r="E13" s="161"/>
      <c r="F13" s="162">
        <v>500.0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</row>
    <row r="14" ht="15.75" customHeight="1">
      <c r="A14" s="151" t="s">
        <v>96</v>
      </c>
      <c r="B14" s="154"/>
      <c r="C14" s="160">
        <v>350.0</v>
      </c>
      <c r="D14" s="129"/>
      <c r="E14" s="161"/>
      <c r="F14" s="162">
        <v>350.0</v>
      </c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</row>
    <row r="15" ht="15.75" customHeight="1">
      <c r="A15" s="151" t="s">
        <v>97</v>
      </c>
      <c r="B15" s="154"/>
      <c r="C15" s="160">
        <v>0.0</v>
      </c>
      <c r="D15" s="129"/>
      <c r="E15" s="161"/>
      <c r="F15" s="157" t="s">
        <v>98</v>
      </c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</row>
    <row r="16" ht="15.75" customHeight="1">
      <c r="A16" s="151" t="s">
        <v>99</v>
      </c>
      <c r="B16" s="154"/>
      <c r="C16" s="160">
        <v>650.0</v>
      </c>
      <c r="D16" s="129"/>
      <c r="E16" s="161"/>
      <c r="F16" s="157" t="s">
        <v>100</v>
      </c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</row>
    <row r="17" ht="15.75" customHeight="1">
      <c r="A17" s="151" t="s">
        <v>101</v>
      </c>
      <c r="B17" s="154"/>
      <c r="C17" s="160">
        <v>0.0</v>
      </c>
      <c r="D17" s="129"/>
      <c r="E17" s="161"/>
      <c r="F17" s="163" t="s">
        <v>102</v>
      </c>
      <c r="G17" s="162"/>
      <c r="H17" s="162"/>
      <c r="I17" s="16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</row>
    <row r="18" ht="15.75" customHeight="1">
      <c r="A18" s="151" t="s">
        <v>103</v>
      </c>
      <c r="B18" s="154"/>
      <c r="C18" s="160">
        <v>0.0</v>
      </c>
      <c r="D18" s="129"/>
      <c r="E18" s="161"/>
      <c r="F18" s="163" t="s">
        <v>104</v>
      </c>
      <c r="M18" s="92"/>
      <c r="N18" s="92"/>
      <c r="O18" s="92"/>
      <c r="P18" s="92"/>
      <c r="Q18" s="92"/>
      <c r="R18" s="92"/>
      <c r="S18" s="92"/>
      <c r="T18" s="92"/>
      <c r="U18" s="92"/>
    </row>
    <row r="19" ht="15.75" customHeight="1">
      <c r="A19" s="164" t="s">
        <v>105</v>
      </c>
      <c r="B19" s="165"/>
      <c r="C19" s="166">
        <v>0.0</v>
      </c>
      <c r="D19" s="129"/>
      <c r="E19" s="161"/>
      <c r="F19" s="162">
        <v>0.0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</row>
    <row r="20" ht="15.75" customHeight="1">
      <c r="A20" s="167" t="s">
        <v>106</v>
      </c>
      <c r="B20" s="168"/>
      <c r="C20" s="169">
        <f>SUM(C6:C19)</f>
        <v>10550</v>
      </c>
      <c r="D20" s="129"/>
      <c r="E20" s="125"/>
      <c r="F20" s="130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</row>
    <row r="21" ht="15.75" customHeight="1">
      <c r="A21" s="92"/>
      <c r="B21" s="154"/>
      <c r="C21" s="154"/>
      <c r="D21" s="129"/>
      <c r="E21" s="125"/>
      <c r="F21" s="130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</row>
    <row r="22" ht="15.75" customHeight="1">
      <c r="A22" s="144" t="s">
        <v>107</v>
      </c>
      <c r="B22" s="170"/>
      <c r="C22" s="170"/>
      <c r="D22" s="171"/>
      <c r="E22" s="143"/>
      <c r="F22" s="144" t="s">
        <v>80</v>
      </c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</row>
    <row r="23" ht="15.75" customHeight="1">
      <c r="A23" s="172" t="s">
        <v>108</v>
      </c>
      <c r="B23" s="154"/>
      <c r="C23" s="173" t="s">
        <v>44</v>
      </c>
      <c r="E23" s="174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</row>
    <row r="24" ht="15.75" customHeight="1">
      <c r="A24" s="175" t="s">
        <v>109</v>
      </c>
      <c r="B24" s="26"/>
      <c r="C24" s="176">
        <f>IF(C23="No",0,(IF(('Offer Calculator'!C15*10%)&lt;(5000),('Offer Calculator'!C15*10%),(5000))))</f>
        <v>3000</v>
      </c>
      <c r="D24" s="177"/>
      <c r="E24" s="178"/>
      <c r="F24" s="179" t="s">
        <v>110</v>
      </c>
      <c r="P24" s="180" t="s">
        <v>111</v>
      </c>
      <c r="T24" s="61"/>
      <c r="U24" s="61"/>
    </row>
    <row r="25" ht="15.75" customHeight="1">
      <c r="A25" s="172" t="s">
        <v>112</v>
      </c>
      <c r="B25" s="154"/>
      <c r="C25" s="181">
        <v>0.0</v>
      </c>
      <c r="E25" s="174"/>
      <c r="F25" s="133" t="s">
        <v>113</v>
      </c>
      <c r="T25" s="133"/>
      <c r="U25" s="133"/>
    </row>
    <row r="26" ht="15.75" customHeight="1">
      <c r="A26" s="158" t="s">
        <v>114</v>
      </c>
      <c r="B26" s="154"/>
      <c r="C26" s="160">
        <v>1000.0</v>
      </c>
      <c r="D26" s="129"/>
      <c r="E26" s="125"/>
      <c r="F26" s="157" t="s">
        <v>115</v>
      </c>
      <c r="L26" s="133"/>
      <c r="M26" s="133"/>
      <c r="N26" s="133"/>
      <c r="O26" s="133"/>
      <c r="T26" s="133"/>
      <c r="U26" s="133"/>
    </row>
    <row r="27" ht="15.75" customHeight="1">
      <c r="A27" s="158" t="s">
        <v>116</v>
      </c>
      <c r="B27" s="154"/>
      <c r="C27" s="160">
        <v>750.0</v>
      </c>
      <c r="D27" s="129"/>
      <c r="E27" s="125"/>
      <c r="F27" s="162" t="s">
        <v>117</v>
      </c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</row>
    <row r="28" ht="15.75" customHeight="1">
      <c r="A28" s="158" t="s">
        <v>118</v>
      </c>
      <c r="B28" s="154"/>
      <c r="C28" s="160">
        <v>350.0</v>
      </c>
      <c r="D28" s="129"/>
      <c r="E28" s="125"/>
      <c r="F28" s="162">
        <v>350.0</v>
      </c>
      <c r="G28" s="133"/>
      <c r="H28" s="133"/>
      <c r="I28" s="133"/>
      <c r="J28" s="133"/>
      <c r="K28" s="133"/>
      <c r="L28" s="133"/>
      <c r="M28" s="182"/>
      <c r="N28" s="133"/>
      <c r="O28" s="133"/>
      <c r="P28" s="133"/>
      <c r="Q28" s="133"/>
      <c r="R28" s="133"/>
      <c r="S28" s="133"/>
      <c r="T28" s="133"/>
      <c r="U28" s="133"/>
    </row>
    <row r="29" ht="15.75" customHeight="1">
      <c r="A29" s="183" t="s">
        <v>119</v>
      </c>
      <c r="B29" s="154"/>
      <c r="C29" s="160">
        <v>250.0</v>
      </c>
      <c r="D29" s="129"/>
      <c r="E29" s="125"/>
      <c r="F29" s="162">
        <v>250.0</v>
      </c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</row>
    <row r="30" ht="15.75" customHeight="1">
      <c r="A30" s="151" t="s">
        <v>120</v>
      </c>
      <c r="B30" s="154"/>
      <c r="C30" s="160">
        <v>2500.0</v>
      </c>
      <c r="D30" s="129"/>
      <c r="E30" s="125"/>
      <c r="F30" s="162" t="s">
        <v>121</v>
      </c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</row>
    <row r="31" ht="15.75" customHeight="1">
      <c r="A31" s="151" t="s">
        <v>122</v>
      </c>
      <c r="B31" s="154"/>
      <c r="C31" s="160">
        <v>0.0</v>
      </c>
      <c r="D31" s="129"/>
      <c r="E31" s="125"/>
      <c r="F31" s="162">
        <v>0.0</v>
      </c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</row>
    <row r="32" ht="15.75" customHeight="1">
      <c r="A32" s="151" t="s">
        <v>123</v>
      </c>
      <c r="B32" s="154"/>
      <c r="C32" s="160">
        <v>0.0</v>
      </c>
      <c r="D32" s="129"/>
      <c r="E32" s="125"/>
      <c r="F32" s="162">
        <v>0.0</v>
      </c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</row>
    <row r="33" ht="15.75" customHeight="1">
      <c r="A33" s="164" t="s">
        <v>124</v>
      </c>
      <c r="B33" s="165"/>
      <c r="C33" s="166">
        <v>0.0</v>
      </c>
      <c r="D33" s="129"/>
      <c r="E33" s="125"/>
      <c r="F33" s="162">
        <v>0.0</v>
      </c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</row>
    <row r="34" ht="15.75" customHeight="1">
      <c r="A34" s="167" t="s">
        <v>125</v>
      </c>
      <c r="B34" s="167"/>
      <c r="C34" s="169">
        <f>SUM(C24:C33)</f>
        <v>7850</v>
      </c>
      <c r="D34" s="92"/>
      <c r="E34" s="125"/>
      <c r="F34" s="130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</row>
    <row r="35" ht="15.75" customHeight="1">
      <c r="A35" s="92"/>
      <c r="B35" s="154"/>
      <c r="C35" s="154"/>
      <c r="D35" s="129"/>
      <c r="E35" s="125"/>
      <c r="F35" s="130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</row>
    <row r="36" ht="15.75" customHeight="1">
      <c r="A36" s="184" t="s">
        <v>126</v>
      </c>
      <c r="B36" s="185" t="s">
        <v>3</v>
      </c>
      <c r="C36" s="186">
        <f>SUM(C20,C34)</f>
        <v>18400</v>
      </c>
      <c r="D36" s="129"/>
      <c r="E36" s="125"/>
      <c r="F36" s="130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</row>
    <row r="37" ht="15.75" customHeight="1">
      <c r="D37" s="129"/>
      <c r="E37" s="125"/>
      <c r="F37" s="130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</row>
    <row r="38" ht="15.75" customHeight="1">
      <c r="A38" s="92"/>
      <c r="B38" s="154"/>
      <c r="C38" s="154"/>
      <c r="D38" s="129"/>
      <c r="E38" s="125"/>
      <c r="F38" s="130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</row>
    <row r="39" ht="15.75" customHeight="1">
      <c r="A39" s="92"/>
      <c r="B39" s="154"/>
      <c r="C39" s="154"/>
      <c r="D39" s="129"/>
      <c r="E39" s="125"/>
      <c r="F39" s="130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</row>
    <row r="40" ht="15.75" customHeight="1">
      <c r="A40" s="92"/>
      <c r="B40" s="154"/>
      <c r="C40" s="154"/>
      <c r="D40" s="129"/>
      <c r="E40" s="125"/>
      <c r="F40" s="130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</row>
    <row r="41" ht="15.75" customHeight="1">
      <c r="A41" s="92"/>
      <c r="B41" s="154"/>
      <c r="C41" s="154"/>
      <c r="D41" s="129"/>
      <c r="E41" s="125"/>
      <c r="F41" s="130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C2"/>
    <mergeCell ref="G1:H1"/>
    <mergeCell ref="I1:K1"/>
    <mergeCell ref="G2:H2"/>
    <mergeCell ref="I2:J2"/>
    <mergeCell ref="A3:C3"/>
    <mergeCell ref="F6:G6"/>
    <mergeCell ref="F24:O24"/>
    <mergeCell ref="F25:O25"/>
    <mergeCell ref="A36:A37"/>
    <mergeCell ref="B36:B37"/>
    <mergeCell ref="C36:C37"/>
    <mergeCell ref="F7:G7"/>
    <mergeCell ref="F9:K9"/>
    <mergeCell ref="F15:J15"/>
    <mergeCell ref="F16:G16"/>
    <mergeCell ref="F18:L18"/>
    <mergeCell ref="A22:C22"/>
    <mergeCell ref="P24:S26"/>
    <mergeCell ref="F26:K26"/>
  </mergeCells>
  <dataValidations>
    <dataValidation type="list" allowBlank="1" sqref="C23">
      <formula1>"No,Yes"</formula1>
    </dataValidation>
    <dataValidation type="list" allowBlank="1" sqref="B4:C4">
      <formula1>"Flat Fee,Full Service"</formula1>
    </dataValidation>
  </dataValidations>
  <hyperlinks>
    <hyperlink r:id="rId2" ref="F17"/>
    <hyperlink r:id="rId3" ref="F18"/>
    <hyperlink r:id="rId4" ref="A29"/>
  </hyperlinks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5.38"/>
    <col customWidth="1" min="2" max="2" width="1.38"/>
    <col customWidth="1" min="4" max="4" width="4.5"/>
    <col customWidth="1" min="5" max="5" width="0.75"/>
    <col customWidth="1" min="6" max="6" width="4.5"/>
    <col customWidth="1" min="7" max="7" width="13.88"/>
    <col customWidth="1" min="8" max="8" width="1.38"/>
    <col customWidth="1" min="9" max="9" width="27.38"/>
    <col customWidth="1" min="10" max="10" width="1.38"/>
    <col customWidth="1" min="11" max="11" width="26.63"/>
    <col customWidth="1" min="12" max="12" width="4.5"/>
  </cols>
  <sheetData>
    <row r="1" ht="15.75" customHeight="1">
      <c r="A1" s="22"/>
      <c r="B1" s="22"/>
      <c r="C1" s="22"/>
      <c r="D1" s="2"/>
      <c r="E1" s="18"/>
      <c r="F1" s="2"/>
      <c r="G1" s="22"/>
      <c r="H1" s="22"/>
      <c r="I1" s="13"/>
      <c r="J1" s="13"/>
      <c r="K1" s="12"/>
      <c r="L1" s="12"/>
    </row>
    <row r="2" ht="15.75" customHeight="1">
      <c r="A2" s="22" t="s">
        <v>7</v>
      </c>
      <c r="D2" s="2"/>
      <c r="E2" s="18"/>
      <c r="F2" s="2"/>
      <c r="G2" s="22" t="s">
        <v>127</v>
      </c>
      <c r="I2" s="187" t="s">
        <v>2</v>
      </c>
      <c r="J2" s="11" t="s">
        <v>3</v>
      </c>
      <c r="K2" s="12" t="s">
        <v>4</v>
      </c>
      <c r="L2" s="13"/>
    </row>
    <row r="3" ht="15.75" customHeight="1">
      <c r="A3" s="24" t="s">
        <v>128</v>
      </c>
      <c r="D3" s="2"/>
      <c r="E3" s="18"/>
      <c r="F3" s="2"/>
      <c r="G3" s="3"/>
      <c r="H3" s="3"/>
      <c r="I3" s="188" t="s">
        <v>5</v>
      </c>
      <c r="J3" s="15" t="s">
        <v>3</v>
      </c>
      <c r="K3" s="189" t="s">
        <v>6</v>
      </c>
      <c r="L3" s="16"/>
    </row>
    <row r="4" ht="15.75" customHeight="1">
      <c r="A4" s="25"/>
      <c r="B4" s="26"/>
      <c r="C4" s="26"/>
      <c r="D4" s="2"/>
      <c r="E4" s="18"/>
      <c r="F4" s="2"/>
      <c r="G4" s="3"/>
      <c r="H4" s="3"/>
      <c r="I4" s="3"/>
      <c r="J4" s="3"/>
      <c r="L4" s="12"/>
    </row>
    <row r="5" ht="3.75" customHeight="1">
      <c r="A5" s="190"/>
      <c r="B5" s="191"/>
      <c r="C5" s="191"/>
      <c r="D5" s="18"/>
      <c r="E5" s="18"/>
      <c r="F5" s="18"/>
      <c r="G5" s="19"/>
      <c r="H5" s="19"/>
      <c r="I5" s="19"/>
      <c r="J5" s="19"/>
      <c r="K5" s="19"/>
      <c r="L5" s="192"/>
    </row>
    <row r="6" ht="15.75" customHeight="1">
      <c r="A6" s="25"/>
      <c r="B6" s="26"/>
      <c r="C6" s="26"/>
      <c r="D6" s="2"/>
      <c r="E6" s="18"/>
      <c r="F6" s="2"/>
      <c r="G6" s="3"/>
      <c r="H6" s="3"/>
      <c r="I6" s="3"/>
      <c r="J6" s="3"/>
      <c r="K6" s="3"/>
      <c r="L6" s="12"/>
    </row>
    <row r="7" ht="15.75" customHeight="1">
      <c r="A7" s="28" t="s">
        <v>129</v>
      </c>
      <c r="B7" s="26"/>
      <c r="C7" s="121">
        <v>2000.0</v>
      </c>
      <c r="D7" s="2"/>
      <c r="E7" s="18"/>
      <c r="F7" s="2"/>
      <c r="G7" s="22" t="s">
        <v>8</v>
      </c>
      <c r="L7" s="12"/>
    </row>
    <row r="8" ht="15.75" customHeight="1">
      <c r="A8" s="12"/>
      <c r="B8" s="26"/>
      <c r="C8" s="26"/>
      <c r="D8" s="2"/>
      <c r="E8" s="18"/>
      <c r="F8" s="2"/>
      <c r="G8" s="12"/>
      <c r="H8" s="12"/>
      <c r="I8" s="12"/>
      <c r="J8" s="12"/>
      <c r="K8" s="12"/>
      <c r="L8" s="12"/>
    </row>
    <row r="9" ht="15.75" customHeight="1">
      <c r="A9" s="28" t="s">
        <v>130</v>
      </c>
      <c r="B9" s="94"/>
      <c r="C9" s="193">
        <v>0.0525</v>
      </c>
      <c r="D9" s="2"/>
      <c r="E9" s="18"/>
      <c r="F9" s="2"/>
      <c r="G9" s="27">
        <f>C18</f>
        <v>274290</v>
      </c>
      <c r="H9" s="12"/>
      <c r="I9" s="12" t="s">
        <v>10</v>
      </c>
      <c r="L9" s="12"/>
    </row>
    <row r="10" ht="15.75" customHeight="1">
      <c r="A10" s="194" t="s">
        <v>131</v>
      </c>
      <c r="B10" s="94"/>
      <c r="C10" s="94"/>
      <c r="D10" s="2"/>
      <c r="E10" s="18"/>
      <c r="F10" s="30" t="s">
        <v>12</v>
      </c>
      <c r="G10" s="31">
        <f>C46</f>
        <v>0.7</v>
      </c>
      <c r="H10" s="32"/>
      <c r="I10" s="32" t="s">
        <v>13</v>
      </c>
      <c r="J10" s="33"/>
      <c r="K10" s="33"/>
      <c r="L10" s="12"/>
    </row>
    <row r="11" ht="15.75" customHeight="1">
      <c r="B11" s="195"/>
      <c r="C11" s="195"/>
      <c r="D11" s="2"/>
      <c r="E11" s="18"/>
      <c r="F11" s="30" t="s">
        <v>3</v>
      </c>
      <c r="G11" s="27">
        <f>G9*G10</f>
        <v>192003</v>
      </c>
      <c r="H11" s="12"/>
      <c r="I11" s="12" t="s">
        <v>14</v>
      </c>
      <c r="L11" s="12"/>
    </row>
    <row r="12" ht="15.75" customHeight="1">
      <c r="A12" s="61"/>
      <c r="B12" s="195"/>
      <c r="C12" s="195"/>
      <c r="D12" s="2"/>
      <c r="E12" s="18"/>
      <c r="F12" s="30" t="s">
        <v>16</v>
      </c>
      <c r="G12" s="27">
        <f>C20</f>
        <v>17500</v>
      </c>
      <c r="H12" s="12"/>
      <c r="I12" s="12" t="s">
        <v>17</v>
      </c>
      <c r="L12" s="12"/>
    </row>
    <row r="13" ht="24.0" customHeight="1">
      <c r="A13" s="28" t="s">
        <v>132</v>
      </c>
      <c r="B13" s="94"/>
      <c r="C13" s="193">
        <v>0.4</v>
      </c>
      <c r="D13" s="2"/>
      <c r="E13" s="18"/>
      <c r="F13" s="30" t="s">
        <v>16</v>
      </c>
      <c r="G13" s="27">
        <f>IF(C32="Yes",C23,0)</f>
        <v>10000</v>
      </c>
      <c r="H13" s="12"/>
      <c r="I13" s="12" t="s">
        <v>19</v>
      </c>
      <c r="L13" s="12"/>
    </row>
    <row r="14" ht="15.75" customHeight="1">
      <c r="A14" s="196" t="s">
        <v>133</v>
      </c>
      <c r="B14" s="94"/>
      <c r="C14" s="94"/>
      <c r="D14" s="2"/>
      <c r="E14" s="18"/>
      <c r="F14" s="30" t="s">
        <v>20</v>
      </c>
      <c r="G14" s="96">
        <f>IF(C32="Yes",C29,0)</f>
        <v>5000</v>
      </c>
      <c r="H14" s="39"/>
      <c r="I14" s="32" t="s">
        <v>21</v>
      </c>
      <c r="J14" s="33"/>
      <c r="K14" s="33"/>
    </row>
    <row r="15" ht="15.75" customHeight="1">
      <c r="B15" s="195"/>
      <c r="C15" s="195"/>
      <c r="D15" s="2"/>
      <c r="E15" s="18"/>
      <c r="F15" s="30" t="s">
        <v>3</v>
      </c>
      <c r="G15" s="27">
        <f>G11-G12-G13+G14</f>
        <v>169503</v>
      </c>
      <c r="H15" s="12"/>
      <c r="I15" s="12" t="s">
        <v>134</v>
      </c>
      <c r="L15" s="12"/>
    </row>
    <row r="16" ht="15.75" customHeight="1">
      <c r="B16" s="195"/>
      <c r="C16" s="195"/>
      <c r="D16" s="2"/>
      <c r="E16" s="18"/>
      <c r="F16" s="30" t="s">
        <v>16</v>
      </c>
      <c r="G16" s="27">
        <f>C58</f>
        <v>25000</v>
      </c>
      <c r="H16" s="12"/>
      <c r="I16" s="12" t="s">
        <v>25</v>
      </c>
      <c r="L16" s="12"/>
    </row>
    <row r="17" ht="15.75" customHeight="1">
      <c r="A17" s="197"/>
      <c r="B17" s="195"/>
      <c r="C17" s="195"/>
      <c r="D17" s="2"/>
      <c r="E17" s="18"/>
      <c r="F17" s="30" t="s">
        <v>3</v>
      </c>
      <c r="G17" s="42">
        <f>G15-G16</f>
        <v>144503</v>
      </c>
      <c r="H17" s="43"/>
      <c r="I17" s="43" t="s">
        <v>26</v>
      </c>
      <c r="J17" s="44"/>
      <c r="K17" s="45"/>
      <c r="L17" s="12"/>
    </row>
    <row r="18" ht="15.75" customHeight="1">
      <c r="A18" s="28" t="s">
        <v>135</v>
      </c>
      <c r="B18" s="195"/>
      <c r="C18" s="63">
        <f>ROUND(((C7*12)*(1-C13))/C9,-1)</f>
        <v>274290</v>
      </c>
      <c r="D18" s="2"/>
      <c r="E18" s="18"/>
      <c r="F18" s="2"/>
      <c r="G18" s="46">
        <f>G17*95%</f>
        <v>137277.85</v>
      </c>
      <c r="H18" s="47"/>
      <c r="I18" s="114" t="s">
        <v>62</v>
      </c>
      <c r="L18" s="12"/>
    </row>
    <row r="19" ht="15.75" customHeight="1">
      <c r="A19" s="197"/>
      <c r="B19" s="195"/>
      <c r="C19" s="195"/>
      <c r="D19" s="2"/>
      <c r="E19" s="18"/>
      <c r="F19" s="2"/>
      <c r="G19" s="49">
        <f>G17*85%</f>
        <v>122827.55</v>
      </c>
      <c r="H19" s="50"/>
      <c r="I19" s="50" t="s">
        <v>63</v>
      </c>
      <c r="J19" s="50"/>
      <c r="K19" s="50"/>
      <c r="L19" s="12"/>
    </row>
    <row r="20" ht="15.75" customHeight="1">
      <c r="A20" s="28" t="s">
        <v>136</v>
      </c>
      <c r="B20" s="26"/>
      <c r="C20" s="121">
        <v>17500.0</v>
      </c>
      <c r="D20" s="2"/>
      <c r="E20" s="18"/>
      <c r="F20" s="2"/>
      <c r="G20" s="51">
        <f>G17*65%</f>
        <v>93926.95</v>
      </c>
      <c r="H20" s="52"/>
      <c r="I20" s="115" t="s">
        <v>64</v>
      </c>
      <c r="J20" s="52"/>
      <c r="K20" s="52"/>
      <c r="L20" s="12"/>
    </row>
    <row r="21" ht="15.75" customHeight="1">
      <c r="A21" s="35" t="s">
        <v>18</v>
      </c>
      <c r="B21" s="58"/>
      <c r="C21" s="58"/>
      <c r="D21" s="2"/>
      <c r="E21" s="18"/>
      <c r="F21" s="2"/>
      <c r="G21" s="54" t="s">
        <v>32</v>
      </c>
      <c r="L21" s="12"/>
    </row>
    <row r="22" ht="15.75" customHeight="1">
      <c r="A22" s="58"/>
      <c r="B22" s="58"/>
      <c r="C22" s="58"/>
      <c r="D22" s="2"/>
      <c r="E22" s="18"/>
      <c r="F22" s="2"/>
      <c r="L22" s="12"/>
    </row>
    <row r="23" ht="15.75" customHeight="1">
      <c r="A23" s="28" t="s">
        <v>137</v>
      </c>
      <c r="B23" s="26"/>
      <c r="C23" s="121">
        <v>10000.0</v>
      </c>
      <c r="D23" s="2"/>
      <c r="E23" s="18"/>
      <c r="F23" s="2"/>
      <c r="L23" s="12"/>
    </row>
    <row r="24" ht="15.75" customHeight="1">
      <c r="A24" s="40" t="s">
        <v>24</v>
      </c>
      <c r="B24" s="195"/>
      <c r="C24" s="195"/>
      <c r="D24" s="2"/>
      <c r="E24" s="18"/>
      <c r="F24" s="2"/>
      <c r="G24" s="177">
        <f>G17/G9</f>
        <v>0.5268256225</v>
      </c>
      <c r="H24" s="11" t="s">
        <v>3</v>
      </c>
      <c r="I24" s="88" t="s">
        <v>35</v>
      </c>
      <c r="L24" s="88"/>
    </row>
    <row r="25" ht="15.75" customHeight="1">
      <c r="B25" s="195"/>
      <c r="C25" s="195"/>
      <c r="D25" s="2"/>
      <c r="E25" s="18"/>
      <c r="F25" s="2"/>
      <c r="G25" s="177">
        <f>1-G24</f>
        <v>0.4731743775</v>
      </c>
      <c r="H25" s="11" t="s">
        <v>3</v>
      </c>
      <c r="I25" s="12" t="s">
        <v>36</v>
      </c>
      <c r="L25" s="12"/>
    </row>
    <row r="26" ht="15.75" customHeight="1">
      <c r="B26" s="195"/>
      <c r="C26" s="195"/>
      <c r="D26" s="2"/>
      <c r="E26" s="18"/>
      <c r="F26" s="2"/>
      <c r="G26" s="27">
        <f>G9-G12-G17</f>
        <v>112287</v>
      </c>
      <c r="H26" s="11" t="s">
        <v>3</v>
      </c>
      <c r="I26" s="88" t="s">
        <v>138</v>
      </c>
    </row>
    <row r="27" ht="15.75" customHeight="1">
      <c r="D27" s="2"/>
      <c r="E27" s="18"/>
      <c r="F27" s="2"/>
      <c r="G27" s="58"/>
      <c r="H27" s="58"/>
      <c r="I27" s="58"/>
      <c r="J27" s="58"/>
      <c r="K27" s="58"/>
      <c r="L27" s="58"/>
    </row>
    <row r="28" ht="15.75" customHeight="1">
      <c r="E28" s="18"/>
      <c r="F28" s="2"/>
      <c r="G28" s="12"/>
      <c r="H28" s="12"/>
      <c r="I28" s="12"/>
      <c r="J28" s="12"/>
      <c r="K28" s="12"/>
      <c r="L28" s="12"/>
    </row>
    <row r="29" ht="15.75" customHeight="1">
      <c r="A29" s="28" t="s">
        <v>139</v>
      </c>
      <c r="C29" s="121">
        <v>5000.0</v>
      </c>
      <c r="D29" s="2"/>
      <c r="E29" s="18"/>
      <c r="F29" s="18"/>
      <c r="G29" s="198"/>
      <c r="H29" s="192"/>
      <c r="I29" s="192"/>
      <c r="J29" s="192"/>
      <c r="K29" s="192"/>
      <c r="L29" s="192"/>
    </row>
    <row r="30" ht="15.75" customHeight="1">
      <c r="A30" s="53" t="s">
        <v>31</v>
      </c>
      <c r="D30" s="2"/>
      <c r="E30" s="18"/>
      <c r="F30" s="70" t="s">
        <v>140</v>
      </c>
      <c r="G30" s="71"/>
      <c r="H30" s="71"/>
      <c r="I30" s="71"/>
      <c r="J30" s="71"/>
      <c r="K30" s="72"/>
      <c r="L30" s="73"/>
    </row>
    <row r="31" ht="15.75" customHeight="1">
      <c r="D31" s="2"/>
      <c r="E31" s="18"/>
      <c r="F31" s="74"/>
      <c r="K31" s="75"/>
      <c r="L31" s="73"/>
    </row>
    <row r="32" ht="15.75" customHeight="1">
      <c r="A32" s="199" t="s">
        <v>141</v>
      </c>
      <c r="C32" s="200" t="s">
        <v>44</v>
      </c>
      <c r="D32" s="2"/>
      <c r="E32" s="18"/>
      <c r="F32" s="74"/>
      <c r="K32" s="75"/>
      <c r="L32" s="73"/>
    </row>
    <row r="33" ht="15.75" customHeight="1">
      <c r="D33" s="2"/>
      <c r="E33" s="18"/>
      <c r="F33" s="74"/>
      <c r="K33" s="75"/>
      <c r="L33" s="73"/>
    </row>
    <row r="34" ht="15.75" customHeight="1">
      <c r="D34" s="2"/>
      <c r="E34" s="18"/>
      <c r="F34" s="77"/>
      <c r="G34" s="78"/>
      <c r="H34" s="78"/>
      <c r="I34" s="78"/>
      <c r="J34" s="78"/>
      <c r="K34" s="79"/>
    </row>
    <row r="35" ht="15.75" customHeight="1">
      <c r="A35" s="28" t="s">
        <v>142</v>
      </c>
      <c r="B35" s="26"/>
      <c r="C35" s="63">
        <f>C18-C20-C23+C29</f>
        <v>251790</v>
      </c>
      <c r="D35" s="2"/>
      <c r="E35" s="18"/>
    </row>
    <row r="36" ht="15.75" customHeight="1">
      <c r="D36" s="2"/>
      <c r="E36" s="18"/>
      <c r="F36" s="2"/>
      <c r="G36" s="201" t="s">
        <v>143</v>
      </c>
      <c r="L36" s="12"/>
    </row>
    <row r="37" ht="15.75" customHeight="1">
      <c r="A37" s="28" t="s">
        <v>39</v>
      </c>
      <c r="B37" s="26"/>
      <c r="C37" s="63">
        <f>IF((C35*5%)&gt;20000,20000,(C35*5%))</f>
        <v>12589.5</v>
      </c>
      <c r="D37" s="2"/>
      <c r="E37" s="18"/>
      <c r="F37" s="2"/>
      <c r="G37" s="58"/>
      <c r="H37" s="58"/>
      <c r="I37" s="58"/>
      <c r="J37" s="58"/>
      <c r="K37" s="58"/>
      <c r="L37" s="58"/>
    </row>
    <row r="38" ht="15.75" customHeight="1">
      <c r="A38" s="197" t="s">
        <v>144</v>
      </c>
      <c r="D38" s="2"/>
      <c r="E38" s="18"/>
      <c r="F38" s="2"/>
      <c r="G38" s="27">
        <f>C18</f>
        <v>274290</v>
      </c>
      <c r="H38" s="12"/>
      <c r="I38" s="12" t="s">
        <v>10</v>
      </c>
      <c r="L38" s="58"/>
    </row>
    <row r="39" ht="15.75" customHeight="1">
      <c r="D39" s="2"/>
      <c r="E39" s="18"/>
      <c r="F39" s="30" t="s">
        <v>16</v>
      </c>
      <c r="G39" s="27">
        <f>C20</f>
        <v>17500</v>
      </c>
      <c r="H39" s="12"/>
      <c r="I39" s="12" t="s">
        <v>17</v>
      </c>
      <c r="L39" s="12"/>
    </row>
    <row r="40" ht="15.75" customHeight="1">
      <c r="A40" s="28" t="s">
        <v>42</v>
      </c>
      <c r="B40" s="12"/>
      <c r="C40" s="121">
        <v>11890.0</v>
      </c>
      <c r="D40" s="2"/>
      <c r="E40" s="18"/>
      <c r="F40" s="30" t="s">
        <v>16</v>
      </c>
      <c r="G40" s="27">
        <f>C23</f>
        <v>10000</v>
      </c>
      <c r="H40" s="12"/>
      <c r="I40" s="12" t="s">
        <v>19</v>
      </c>
      <c r="L40" s="12"/>
    </row>
    <row r="41" ht="15.75" customHeight="1">
      <c r="D41" s="2"/>
      <c r="E41" s="90"/>
      <c r="F41" s="30" t="s">
        <v>20</v>
      </c>
      <c r="G41" s="91">
        <f>C29</f>
        <v>5000</v>
      </c>
      <c r="H41" s="92"/>
      <c r="I41" s="12" t="s">
        <v>21</v>
      </c>
    </row>
    <row r="42" ht="15.75" customHeight="1">
      <c r="A42" s="28" t="s">
        <v>43</v>
      </c>
      <c r="B42" s="12"/>
      <c r="C42" s="202" t="s">
        <v>44</v>
      </c>
      <c r="D42" s="89"/>
      <c r="E42" s="18"/>
      <c r="F42" s="30" t="s">
        <v>16</v>
      </c>
      <c r="G42" s="96">
        <f>IF(C42="Yes",C40,0)</f>
        <v>11890</v>
      </c>
      <c r="H42" s="32"/>
      <c r="I42" s="32" t="s">
        <v>51</v>
      </c>
      <c r="J42" s="39"/>
      <c r="K42" s="39"/>
    </row>
    <row r="43" ht="15.75" customHeight="1">
      <c r="D43" s="2"/>
      <c r="E43" s="18"/>
      <c r="F43" s="30" t="s">
        <v>3</v>
      </c>
      <c r="G43" s="27">
        <f>G38-G39-G40+G41-G42</f>
        <v>239900</v>
      </c>
      <c r="H43" s="13"/>
      <c r="I43" s="12" t="s">
        <v>53</v>
      </c>
      <c r="J43" s="12"/>
      <c r="K43" s="12"/>
      <c r="L43" s="88"/>
    </row>
    <row r="44" ht="15.75" customHeight="1">
      <c r="A44" s="82" t="s">
        <v>46</v>
      </c>
      <c r="B44" s="83"/>
      <c r="C44" s="84">
        <f>IF(C42="No",C35,(C35-C40))</f>
        <v>239900</v>
      </c>
      <c r="D44" s="2"/>
      <c r="E44" s="18"/>
      <c r="F44" s="108" t="s">
        <v>20</v>
      </c>
      <c r="G44" s="100">
        <f>C66</f>
        <v>0</v>
      </c>
      <c r="H44" s="203"/>
      <c r="I44" s="102" t="s">
        <v>54</v>
      </c>
      <c r="J44" s="33"/>
      <c r="K44" s="33"/>
      <c r="L44" s="58"/>
    </row>
    <row r="45" ht="15.75" customHeight="1">
      <c r="D45" s="2"/>
      <c r="E45" s="18"/>
      <c r="F45" s="108" t="s">
        <v>3</v>
      </c>
      <c r="G45" s="27">
        <f>G43+G44</f>
        <v>239900</v>
      </c>
      <c r="H45" s="58"/>
      <c r="I45" s="12" t="s">
        <v>55</v>
      </c>
      <c r="J45" s="58"/>
      <c r="K45" s="58"/>
      <c r="L45" s="58"/>
    </row>
    <row r="46" ht="15.75" customHeight="1">
      <c r="A46" s="55" t="s">
        <v>47</v>
      </c>
      <c r="B46" s="85"/>
      <c r="C46" s="204">
        <v>0.7</v>
      </c>
      <c r="D46" s="2"/>
      <c r="E46" s="18"/>
      <c r="F46" s="30" t="s">
        <v>16</v>
      </c>
      <c r="G46" s="96">
        <f>C49</f>
        <v>37139</v>
      </c>
      <c r="H46" s="205"/>
      <c r="I46" s="103" t="s">
        <v>145</v>
      </c>
      <c r="J46" s="33"/>
      <c r="K46" s="33"/>
      <c r="L46" s="12"/>
    </row>
    <row r="47" ht="15.75" customHeight="1">
      <c r="A47" s="87" t="s">
        <v>146</v>
      </c>
      <c r="B47" s="88"/>
      <c r="C47" s="88"/>
      <c r="D47" s="2"/>
      <c r="E47" s="18"/>
      <c r="F47" s="30" t="s">
        <v>3</v>
      </c>
      <c r="G47" s="27">
        <f>G45-G46</f>
        <v>202761</v>
      </c>
      <c r="H47" s="13"/>
      <c r="I47" s="12" t="s">
        <v>147</v>
      </c>
    </row>
    <row r="48" ht="15.75" customHeight="1">
      <c r="E48" s="18"/>
      <c r="F48" s="30" t="s">
        <v>16</v>
      </c>
      <c r="G48" s="27">
        <f>C58</f>
        <v>25000</v>
      </c>
      <c r="H48" s="12"/>
      <c r="I48" s="12" t="s">
        <v>25</v>
      </c>
      <c r="L48" s="12"/>
    </row>
    <row r="49" ht="15.75" customHeight="1">
      <c r="A49" s="93" t="s">
        <v>50</v>
      </c>
      <c r="B49" s="94"/>
      <c r="C49" s="206">
        <f>Sheet7!C36</f>
        <v>37139</v>
      </c>
      <c r="E49" s="18"/>
      <c r="F49" s="108" t="s">
        <v>20</v>
      </c>
      <c r="G49" s="207">
        <f>C69</f>
        <v>0</v>
      </c>
      <c r="H49" s="208"/>
      <c r="I49" s="209" t="s">
        <v>60</v>
      </c>
      <c r="L49" s="12"/>
    </row>
    <row r="50" ht="15.75" customHeight="1">
      <c r="A50" s="97" t="s">
        <v>148</v>
      </c>
      <c r="B50" s="88"/>
      <c r="C50" s="88"/>
      <c r="E50" s="18"/>
      <c r="F50" s="30" t="s">
        <v>3</v>
      </c>
      <c r="G50" s="42">
        <f>G47-G48+G49</f>
        <v>177761</v>
      </c>
      <c r="H50" s="112"/>
      <c r="I50" s="113" t="s">
        <v>149</v>
      </c>
      <c r="J50" s="44"/>
      <c r="K50" s="45"/>
      <c r="L50" s="12"/>
    </row>
    <row r="51" ht="15.75" customHeight="1">
      <c r="B51" s="88"/>
      <c r="C51" s="88"/>
      <c r="E51" s="18"/>
      <c r="F51" s="89"/>
      <c r="G51" s="46">
        <f>G50*95%</f>
        <v>168872.95</v>
      </c>
      <c r="H51" s="47"/>
      <c r="I51" s="114" t="s">
        <v>62</v>
      </c>
      <c r="L51" s="12"/>
    </row>
    <row r="52" ht="15.75" customHeight="1">
      <c r="E52" s="18"/>
      <c r="F52" s="2"/>
      <c r="G52" s="49">
        <f>G50*85%</f>
        <v>151096.85</v>
      </c>
      <c r="H52" s="50"/>
      <c r="I52" s="50" t="s">
        <v>63</v>
      </c>
      <c r="J52" s="50"/>
      <c r="K52" s="50"/>
      <c r="L52" s="12"/>
    </row>
    <row r="53" ht="15.75" customHeight="1">
      <c r="A53" s="28" t="s">
        <v>150</v>
      </c>
      <c r="B53" s="26"/>
      <c r="C53" s="63">
        <f>IF((G15*10%)&gt;25000,(G15*10%),25000)</f>
        <v>25000</v>
      </c>
      <c r="E53" s="18"/>
      <c r="F53" s="2"/>
      <c r="G53" s="51">
        <f>G50*65%</f>
        <v>115544.65</v>
      </c>
      <c r="H53" s="52"/>
      <c r="I53" s="115" t="s">
        <v>64</v>
      </c>
      <c r="J53" s="52"/>
      <c r="K53" s="52"/>
      <c r="L53" s="12"/>
    </row>
    <row r="54" ht="15.75" customHeight="1">
      <c r="A54" s="210" t="s">
        <v>151</v>
      </c>
      <c r="B54" s="58"/>
      <c r="C54" s="58"/>
      <c r="E54" s="18"/>
      <c r="F54" s="2"/>
      <c r="G54" s="54" t="s">
        <v>32</v>
      </c>
      <c r="L54" s="12"/>
    </row>
    <row r="55" ht="15.75" customHeight="1">
      <c r="B55" s="58"/>
      <c r="C55" s="58"/>
      <c r="E55" s="18"/>
      <c r="F55" s="2"/>
      <c r="L55" s="12"/>
    </row>
    <row r="56" ht="15.75" customHeight="1">
      <c r="B56" s="58"/>
      <c r="C56" s="58"/>
      <c r="E56" s="18"/>
      <c r="F56" s="2"/>
      <c r="G56" s="58"/>
      <c r="H56" s="12"/>
      <c r="I56" s="58"/>
      <c r="J56" s="12"/>
      <c r="K56" s="12"/>
      <c r="L56" s="12"/>
    </row>
    <row r="57" ht="15.75" customHeight="1">
      <c r="B57" s="58"/>
      <c r="C57" s="58"/>
      <c r="D57" s="2"/>
      <c r="E57" s="18"/>
      <c r="F57" s="2"/>
      <c r="G57" s="177">
        <f>G50/G38</f>
        <v>0.648076853</v>
      </c>
      <c r="H57" s="11" t="s">
        <v>3</v>
      </c>
      <c r="I57" s="211" t="s">
        <v>66</v>
      </c>
      <c r="L57" s="12"/>
    </row>
    <row r="58" ht="15.75" customHeight="1">
      <c r="A58" s="28" t="s">
        <v>25</v>
      </c>
      <c r="B58" s="26"/>
      <c r="C58" s="121">
        <v>25000.0</v>
      </c>
      <c r="D58" s="2"/>
      <c r="E58" s="18"/>
      <c r="F58" s="2"/>
      <c r="G58" s="27">
        <f>G50-G17</f>
        <v>33258</v>
      </c>
      <c r="H58" s="60" t="s">
        <v>3</v>
      </c>
      <c r="I58" s="120" t="s">
        <v>152</v>
      </c>
      <c r="L58" s="88"/>
    </row>
    <row r="59" ht="15.75" customHeight="1">
      <c r="D59" s="2"/>
      <c r="E59" s="18"/>
      <c r="F59" s="2"/>
      <c r="G59" s="58"/>
      <c r="H59" s="58"/>
      <c r="I59" s="58"/>
      <c r="J59" s="58"/>
      <c r="K59" s="58"/>
      <c r="L59" s="212"/>
    </row>
    <row r="60" ht="15.75" customHeight="1">
      <c r="A60" s="116"/>
      <c r="B60" s="116"/>
      <c r="C60" s="116"/>
      <c r="D60" s="116"/>
      <c r="E60" s="18"/>
      <c r="F60" s="2"/>
      <c r="G60" s="58"/>
      <c r="H60" s="58"/>
      <c r="I60" s="58"/>
      <c r="J60" s="58"/>
      <c r="K60" s="58"/>
      <c r="L60" s="212"/>
    </row>
    <row r="61" ht="15.75" customHeight="1">
      <c r="D61" s="2"/>
      <c r="E61" s="18"/>
      <c r="F61" s="2"/>
      <c r="G61" s="58"/>
      <c r="H61" s="58"/>
      <c r="I61" s="58"/>
      <c r="J61" s="58"/>
      <c r="K61" s="58"/>
      <c r="L61" s="212"/>
    </row>
    <row r="62" ht="15.75" customHeight="1">
      <c r="A62" s="118" t="s">
        <v>153</v>
      </c>
      <c r="D62" s="2"/>
      <c r="E62" s="18"/>
      <c r="F62" s="2"/>
      <c r="G62" s="58"/>
      <c r="H62" s="58"/>
      <c r="I62" s="58"/>
      <c r="J62" s="58"/>
      <c r="K62" s="58"/>
      <c r="L62" s="212"/>
    </row>
    <row r="63" ht="15.75" customHeight="1">
      <c r="D63" s="2"/>
      <c r="E63" s="18"/>
      <c r="F63" s="2"/>
      <c r="G63" s="58"/>
      <c r="H63" s="58"/>
      <c r="I63" s="58"/>
      <c r="J63" s="58"/>
      <c r="K63" s="58"/>
      <c r="L63" s="212"/>
    </row>
    <row r="64" ht="15.75" customHeight="1">
      <c r="D64" s="2"/>
      <c r="E64" s="18"/>
      <c r="F64" s="2"/>
      <c r="G64" s="58"/>
      <c r="H64" s="58"/>
      <c r="I64" s="58"/>
      <c r="J64" s="58"/>
      <c r="K64" s="58"/>
      <c r="L64" s="212"/>
    </row>
    <row r="65" ht="15.75" customHeight="1">
      <c r="D65" s="2"/>
      <c r="E65" s="18"/>
      <c r="F65" s="2"/>
      <c r="G65" s="58"/>
      <c r="H65" s="58"/>
      <c r="I65" s="58"/>
      <c r="J65" s="58"/>
      <c r="K65" s="58"/>
      <c r="L65" s="212"/>
    </row>
    <row r="66" ht="15.75" customHeight="1">
      <c r="A66" s="93" t="s">
        <v>154</v>
      </c>
      <c r="B66" s="58"/>
      <c r="C66" s="121">
        <v>0.0</v>
      </c>
      <c r="D66" s="2"/>
      <c r="E66" s="18"/>
      <c r="F66" s="2"/>
      <c r="G66" s="58"/>
      <c r="H66" s="58"/>
      <c r="I66" s="58"/>
      <c r="J66" s="58"/>
      <c r="K66" s="58"/>
      <c r="L66" s="212"/>
    </row>
    <row r="67" ht="15.75" customHeight="1">
      <c r="B67" s="58"/>
      <c r="C67" s="58"/>
      <c r="D67" s="2"/>
      <c r="E67" s="18"/>
      <c r="F67" s="2"/>
      <c r="G67" s="58"/>
      <c r="H67" s="58"/>
      <c r="I67" s="58"/>
      <c r="J67" s="58"/>
      <c r="K67" s="58"/>
      <c r="L67" s="212"/>
    </row>
    <row r="68" ht="15.75" customHeight="1">
      <c r="A68" s="58"/>
      <c r="B68" s="58"/>
      <c r="C68" s="58"/>
      <c r="D68" s="2"/>
      <c r="E68" s="18"/>
      <c r="F68" s="2"/>
      <c r="G68" s="58"/>
      <c r="H68" s="58"/>
      <c r="I68" s="58"/>
      <c r="J68" s="58"/>
      <c r="K68" s="58"/>
      <c r="L68" s="212"/>
    </row>
    <row r="69" ht="15.75" customHeight="1">
      <c r="A69" s="122" t="s">
        <v>155</v>
      </c>
      <c r="C69" s="121">
        <v>0.0</v>
      </c>
      <c r="D69" s="2"/>
      <c r="E69" s="18"/>
      <c r="F69" s="2"/>
      <c r="G69" s="58"/>
      <c r="H69" s="58"/>
      <c r="I69" s="58"/>
      <c r="J69" s="58"/>
      <c r="K69" s="58"/>
      <c r="L69" s="212"/>
    </row>
    <row r="70" ht="15.75" customHeight="1">
      <c r="D70" s="2"/>
      <c r="E70" s="18"/>
      <c r="F70" s="2"/>
      <c r="G70" s="58"/>
      <c r="H70" s="58"/>
      <c r="I70" s="58"/>
      <c r="J70" s="58"/>
      <c r="K70" s="58"/>
      <c r="L70" s="212"/>
    </row>
    <row r="71" ht="15.75" customHeight="1">
      <c r="E71" s="18"/>
      <c r="F71" s="2"/>
      <c r="G71" s="58"/>
      <c r="H71" s="58"/>
      <c r="I71" s="58"/>
      <c r="J71" s="58"/>
      <c r="K71" s="58"/>
      <c r="L71" s="21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I10:K10"/>
    <mergeCell ref="I11:K11"/>
    <mergeCell ref="I12:K12"/>
    <mergeCell ref="I13:K13"/>
    <mergeCell ref="I9:K9"/>
    <mergeCell ref="I14:K14"/>
    <mergeCell ref="A2:C2"/>
    <mergeCell ref="G2:H2"/>
    <mergeCell ref="A3:C3"/>
    <mergeCell ref="K3:K4"/>
    <mergeCell ref="G7:K7"/>
    <mergeCell ref="A10:A11"/>
    <mergeCell ref="A14:A16"/>
    <mergeCell ref="I15:K15"/>
    <mergeCell ref="I16:K16"/>
    <mergeCell ref="I17:K17"/>
    <mergeCell ref="I18:K18"/>
    <mergeCell ref="G21:K22"/>
    <mergeCell ref="A24:A27"/>
    <mergeCell ref="I24:K24"/>
    <mergeCell ref="I25:K25"/>
    <mergeCell ref="I26:L26"/>
    <mergeCell ref="F30:K34"/>
    <mergeCell ref="A32:A33"/>
    <mergeCell ref="G36:K36"/>
    <mergeCell ref="A38:A39"/>
    <mergeCell ref="I38:K38"/>
    <mergeCell ref="I39:K39"/>
    <mergeCell ref="I40:K40"/>
    <mergeCell ref="I41:K41"/>
    <mergeCell ref="I44:K44"/>
    <mergeCell ref="I46:K46"/>
    <mergeCell ref="I47:L47"/>
    <mergeCell ref="I48:K48"/>
    <mergeCell ref="A54:A57"/>
    <mergeCell ref="A62:C64"/>
    <mergeCell ref="A66:A67"/>
    <mergeCell ref="A69:A70"/>
    <mergeCell ref="I49:K49"/>
    <mergeCell ref="A50:A51"/>
    <mergeCell ref="I50:K50"/>
    <mergeCell ref="I51:K51"/>
    <mergeCell ref="G54:K55"/>
    <mergeCell ref="I57:K57"/>
    <mergeCell ref="I58:K58"/>
  </mergeCells>
  <dataValidations>
    <dataValidation type="list" allowBlank="1" sqref="C32 C42">
      <formula1>"Yes,No"</formula1>
    </dataValidation>
  </dataValidations>
  <hyperlinks>
    <hyperlink r:id="rId2" ref="A10"/>
    <hyperlink r:id="rId3" ref="A21"/>
    <hyperlink r:id="rId4" ref="G21"/>
    <hyperlink r:id="rId5" ref="G5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5"/>
    <col customWidth="1" min="2" max="2" width="1.38"/>
    <col customWidth="1" min="5" max="5" width="0.75"/>
    <col customWidth="1" min="6" max="6" width="50.25"/>
    <col customWidth="1" min="14" max="14" width="4.13"/>
  </cols>
  <sheetData>
    <row r="1" ht="15.75" customHeight="1">
      <c r="A1" s="213" t="s">
        <v>70</v>
      </c>
      <c r="D1" s="124"/>
      <c r="E1" s="125"/>
      <c r="F1" s="126" t="s">
        <v>71</v>
      </c>
      <c r="G1" s="127" t="s">
        <v>72</v>
      </c>
      <c r="H1" s="10"/>
      <c r="I1" s="128" t="s">
        <v>73</v>
      </c>
      <c r="L1" s="92"/>
      <c r="M1" s="92"/>
      <c r="N1" s="92"/>
      <c r="O1" s="92"/>
      <c r="P1" s="92"/>
      <c r="Q1" s="92"/>
      <c r="R1" s="92"/>
      <c r="S1" s="92"/>
      <c r="T1" s="92"/>
      <c r="U1" s="92"/>
    </row>
    <row r="2" ht="15.75" customHeight="1">
      <c r="A2" s="92"/>
      <c r="B2" s="154"/>
      <c r="C2" s="154"/>
      <c r="D2" s="129"/>
      <c r="E2" s="125"/>
      <c r="F2" s="130"/>
      <c r="G2" s="8" t="s">
        <v>2</v>
      </c>
      <c r="H2" s="10"/>
      <c r="I2" s="128" t="s">
        <v>74</v>
      </c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</row>
    <row r="3" ht="15.75" customHeight="1">
      <c r="A3" s="131" t="s">
        <v>75</v>
      </c>
      <c r="D3" s="132"/>
      <c r="E3" s="125"/>
      <c r="F3" s="130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</row>
    <row r="4" ht="15.75" customHeight="1">
      <c r="A4" s="133" t="s">
        <v>76</v>
      </c>
      <c r="B4" s="134"/>
      <c r="C4" s="214" t="s">
        <v>77</v>
      </c>
      <c r="D4" s="129"/>
      <c r="E4" s="136"/>
      <c r="F4" s="137"/>
      <c r="G4" s="138"/>
      <c r="H4" s="138"/>
      <c r="I4" s="138"/>
      <c r="J4" s="138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ht="15.75" customHeight="1">
      <c r="A5" s="139" t="s">
        <v>78</v>
      </c>
      <c r="B5" s="140"/>
      <c r="C5" s="141">
        <v>500.0</v>
      </c>
      <c r="D5" s="142" t="s">
        <v>79</v>
      </c>
      <c r="E5" s="143"/>
      <c r="F5" s="144" t="s">
        <v>80</v>
      </c>
      <c r="G5" s="145"/>
      <c r="H5" s="145"/>
      <c r="I5" s="145"/>
      <c r="J5" s="145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r="6" ht="15.75" customHeight="1">
      <c r="A6" s="147" t="s">
        <v>81</v>
      </c>
      <c r="B6" s="148"/>
      <c r="C6" s="149">
        <f>IF(C4="Flat Fee",C5,('No Comps, but have Rents Calcul'!C44*D6))</f>
        <v>5997.5</v>
      </c>
      <c r="D6" s="215">
        <v>0.025</v>
      </c>
      <c r="E6" s="136"/>
      <c r="F6" s="137" t="s">
        <v>82</v>
      </c>
      <c r="H6" s="138"/>
      <c r="I6" s="138"/>
      <c r="J6" s="138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</row>
    <row r="7" ht="15.75" customHeight="1">
      <c r="A7" s="151" t="s">
        <v>83</v>
      </c>
      <c r="B7" s="92"/>
      <c r="C7" s="152">
        <f>'No Comps, but have Rents Calcul'!C44*D7</f>
        <v>8396.5</v>
      </c>
      <c r="D7" s="155">
        <v>0.035</v>
      </c>
      <c r="E7" s="136"/>
      <c r="F7" s="137" t="s">
        <v>84</v>
      </c>
      <c r="H7" s="138"/>
      <c r="I7" s="138"/>
      <c r="J7" s="138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</row>
    <row r="8" ht="15.75" customHeight="1">
      <c r="A8" s="151" t="s">
        <v>85</v>
      </c>
      <c r="B8" s="154"/>
      <c r="C8" s="152">
        <f>'No Comps, but have Rents Calcul'!C44*D8</f>
        <v>3598.5</v>
      </c>
      <c r="D8" s="155">
        <v>0.015</v>
      </c>
      <c r="E8" s="136"/>
      <c r="F8" s="137" t="s">
        <v>86</v>
      </c>
      <c r="G8" s="138"/>
      <c r="H8" s="138"/>
      <c r="I8" s="138"/>
      <c r="J8" s="138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</row>
    <row r="9" ht="15.75" customHeight="1">
      <c r="A9" s="151" t="s">
        <v>87</v>
      </c>
      <c r="B9" s="154"/>
      <c r="C9" s="152">
        <f>'No Comps, but have Rents Calcul'!C44*D9</f>
        <v>0</v>
      </c>
      <c r="D9" s="155">
        <v>0.0</v>
      </c>
      <c r="E9" s="156"/>
      <c r="F9" s="157" t="s">
        <v>88</v>
      </c>
      <c r="L9" s="92"/>
      <c r="M9" s="92"/>
      <c r="N9" s="92"/>
      <c r="O9" s="92"/>
      <c r="P9" s="92"/>
      <c r="Q9" s="92"/>
      <c r="R9" s="92"/>
      <c r="S9" s="92"/>
      <c r="T9" s="92"/>
      <c r="U9" s="92"/>
    </row>
    <row r="10" ht="15.75" customHeight="1">
      <c r="A10" s="158" t="s">
        <v>89</v>
      </c>
      <c r="B10" s="154"/>
      <c r="C10" s="152">
        <f>'No Comps, but have Rents Calcul'!C44*D10</f>
        <v>7197</v>
      </c>
      <c r="D10" s="159">
        <v>0.03</v>
      </c>
      <c r="E10" s="156"/>
      <c r="F10" s="157" t="s">
        <v>90</v>
      </c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</row>
    <row r="11" ht="15.75" customHeight="1">
      <c r="A11" s="151" t="s">
        <v>91</v>
      </c>
      <c r="B11" s="154"/>
      <c r="C11" s="160">
        <v>0.0</v>
      </c>
      <c r="D11" s="129"/>
      <c r="E11" s="161"/>
      <c r="F11" s="162" t="s">
        <v>92</v>
      </c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</row>
    <row r="12" ht="15.75" customHeight="1">
      <c r="A12" s="158" t="s">
        <v>93</v>
      </c>
      <c r="B12" s="154"/>
      <c r="C12" s="160">
        <v>650.0</v>
      </c>
      <c r="D12" s="129"/>
      <c r="E12" s="161"/>
      <c r="F12" s="162" t="s">
        <v>94</v>
      </c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</row>
    <row r="13" ht="15.75" customHeight="1">
      <c r="A13" s="151" t="s">
        <v>95</v>
      </c>
      <c r="B13" s="154"/>
      <c r="C13" s="160">
        <v>500.0</v>
      </c>
      <c r="D13" s="129"/>
      <c r="E13" s="161"/>
      <c r="F13" s="162">
        <v>500.0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</row>
    <row r="14" ht="15.75" customHeight="1">
      <c r="A14" s="151" t="s">
        <v>96</v>
      </c>
      <c r="B14" s="154"/>
      <c r="C14" s="160">
        <v>350.0</v>
      </c>
      <c r="D14" s="129"/>
      <c r="E14" s="161"/>
      <c r="F14" s="162">
        <v>350.0</v>
      </c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</row>
    <row r="15" ht="15.75" customHeight="1">
      <c r="A15" s="151" t="s">
        <v>97</v>
      </c>
      <c r="B15" s="154"/>
      <c r="C15" s="160">
        <v>0.0</v>
      </c>
      <c r="D15" s="129"/>
      <c r="E15" s="161"/>
      <c r="F15" s="157" t="s">
        <v>98</v>
      </c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</row>
    <row r="16" ht="15.75" customHeight="1">
      <c r="A16" s="151" t="s">
        <v>99</v>
      </c>
      <c r="B16" s="154"/>
      <c r="C16" s="160">
        <v>650.0</v>
      </c>
      <c r="D16" s="129"/>
      <c r="E16" s="161"/>
      <c r="F16" s="157" t="s">
        <v>100</v>
      </c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</row>
    <row r="17" ht="15.75" customHeight="1">
      <c r="A17" s="151" t="s">
        <v>156</v>
      </c>
      <c r="B17" s="154"/>
      <c r="C17" s="160">
        <v>2000.0</v>
      </c>
      <c r="D17" s="129"/>
      <c r="E17" s="161"/>
      <c r="F17" s="163" t="s">
        <v>157</v>
      </c>
      <c r="G17" s="162"/>
      <c r="H17" s="162"/>
      <c r="I17" s="16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</row>
    <row r="18" ht="15.75" customHeight="1">
      <c r="A18" s="151" t="s">
        <v>103</v>
      </c>
      <c r="B18" s="154"/>
      <c r="C18" s="160">
        <v>0.0</v>
      </c>
      <c r="D18" s="129"/>
      <c r="E18" s="161"/>
      <c r="F18" s="163" t="s">
        <v>158</v>
      </c>
      <c r="M18" s="92"/>
      <c r="N18" s="92"/>
      <c r="O18" s="92"/>
      <c r="P18" s="92"/>
      <c r="Q18" s="92"/>
      <c r="R18" s="92"/>
      <c r="S18" s="92"/>
      <c r="T18" s="92"/>
      <c r="U18" s="92"/>
    </row>
    <row r="19" ht="15.75" customHeight="1">
      <c r="A19" s="164" t="s">
        <v>105</v>
      </c>
      <c r="B19" s="165"/>
      <c r="C19" s="166">
        <v>0.0</v>
      </c>
      <c r="D19" s="129"/>
      <c r="E19" s="161"/>
      <c r="F19" s="162">
        <v>0.0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</row>
    <row r="20" ht="15.75" customHeight="1">
      <c r="A20" s="167" t="s">
        <v>106</v>
      </c>
      <c r="B20" s="168"/>
      <c r="C20" s="169">
        <f>SUM(C6:C19)</f>
        <v>29339.5</v>
      </c>
      <c r="D20" s="129"/>
      <c r="E20" s="125"/>
      <c r="F20" s="130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</row>
    <row r="21" ht="15.75" customHeight="1">
      <c r="A21" s="92"/>
      <c r="B21" s="154"/>
      <c r="C21" s="154"/>
      <c r="D21" s="129"/>
      <c r="E21" s="125"/>
      <c r="F21" s="130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</row>
    <row r="22" ht="15.75" customHeight="1">
      <c r="A22" s="144" t="s">
        <v>107</v>
      </c>
      <c r="B22" s="170"/>
      <c r="C22" s="170"/>
      <c r="D22" s="171"/>
      <c r="E22" s="143"/>
      <c r="F22" s="144" t="s">
        <v>80</v>
      </c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</row>
    <row r="23" ht="15.75" customHeight="1">
      <c r="A23" s="172" t="s">
        <v>108</v>
      </c>
      <c r="B23" s="154"/>
      <c r="C23" s="216" t="s">
        <v>44</v>
      </c>
      <c r="E23" s="174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</row>
    <row r="24" ht="15.75" customHeight="1">
      <c r="A24" s="175" t="s">
        <v>109</v>
      </c>
      <c r="B24" s="26"/>
      <c r="C24" s="176">
        <f>IF(C23="No",0,(IF(('No Comps, but have Rents Calcul'!C20*10%)&lt;(5000),('No Comps, but have Rents Calcul'!C20*10%),(5000))))</f>
        <v>1750</v>
      </c>
      <c r="D24" s="177"/>
      <c r="E24" s="178"/>
      <c r="F24" s="179" t="s">
        <v>110</v>
      </c>
      <c r="P24" s="180" t="s">
        <v>159</v>
      </c>
      <c r="T24" s="61"/>
      <c r="U24" s="61"/>
    </row>
    <row r="25" ht="15.75" customHeight="1">
      <c r="A25" s="172" t="s">
        <v>112</v>
      </c>
      <c r="B25" s="154"/>
      <c r="C25" s="160">
        <f>'No Comps, but have Rents Calcul'!G45*0.5%</f>
        <v>1199.5</v>
      </c>
      <c r="E25" s="174"/>
      <c r="F25" s="133" t="s">
        <v>113</v>
      </c>
      <c r="T25" s="133"/>
      <c r="U25" s="133"/>
    </row>
    <row r="26" ht="15.75" customHeight="1">
      <c r="A26" s="158" t="s">
        <v>114</v>
      </c>
      <c r="B26" s="154"/>
      <c r="C26" s="160">
        <v>1000.0</v>
      </c>
      <c r="D26" s="129"/>
      <c r="E26" s="125"/>
      <c r="F26" s="157" t="s">
        <v>115</v>
      </c>
      <c r="L26" s="133"/>
      <c r="M26" s="133"/>
      <c r="N26" s="133"/>
      <c r="O26" s="133"/>
      <c r="T26" s="133"/>
      <c r="U26" s="133"/>
    </row>
    <row r="27" ht="15.75" customHeight="1">
      <c r="A27" s="158" t="s">
        <v>116</v>
      </c>
      <c r="B27" s="154"/>
      <c r="C27" s="160">
        <v>750.0</v>
      </c>
      <c r="D27" s="129"/>
      <c r="E27" s="125"/>
      <c r="F27" s="162" t="s">
        <v>117</v>
      </c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</row>
    <row r="28" ht="15.75" customHeight="1">
      <c r="A28" s="158" t="s">
        <v>118</v>
      </c>
      <c r="B28" s="154"/>
      <c r="C28" s="160">
        <v>350.0</v>
      </c>
      <c r="D28" s="129"/>
      <c r="E28" s="125"/>
      <c r="F28" s="162">
        <v>350.0</v>
      </c>
      <c r="G28" s="133"/>
      <c r="H28" s="133"/>
      <c r="I28" s="133"/>
      <c r="J28" s="133"/>
      <c r="K28" s="133"/>
      <c r="L28" s="133"/>
      <c r="M28" s="182"/>
      <c r="N28" s="133"/>
      <c r="O28" s="133"/>
      <c r="P28" s="133"/>
      <c r="Q28" s="133"/>
      <c r="R28" s="133"/>
      <c r="S28" s="133"/>
      <c r="T28" s="133"/>
      <c r="U28" s="133"/>
    </row>
    <row r="29" ht="15.75" customHeight="1">
      <c r="A29" s="183" t="s">
        <v>119</v>
      </c>
      <c r="B29" s="154"/>
      <c r="C29" s="160">
        <v>250.0</v>
      </c>
      <c r="D29" s="129"/>
      <c r="E29" s="125"/>
      <c r="F29" s="162">
        <v>250.0</v>
      </c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</row>
    <row r="30" ht="15.75" customHeight="1">
      <c r="A30" s="151" t="s">
        <v>120</v>
      </c>
      <c r="B30" s="154"/>
      <c r="C30" s="160">
        <v>2500.0</v>
      </c>
      <c r="D30" s="129"/>
      <c r="E30" s="125"/>
      <c r="F30" s="162" t="s">
        <v>121</v>
      </c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</row>
    <row r="31" ht="15.75" customHeight="1">
      <c r="A31" s="151" t="s">
        <v>122</v>
      </c>
      <c r="B31" s="154"/>
      <c r="C31" s="160">
        <v>0.0</v>
      </c>
      <c r="D31" s="129"/>
      <c r="E31" s="125"/>
      <c r="F31" s="162">
        <v>0.0</v>
      </c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</row>
    <row r="32" ht="15.75" customHeight="1">
      <c r="A32" s="151" t="s">
        <v>123</v>
      </c>
      <c r="B32" s="154"/>
      <c r="C32" s="160">
        <v>0.0</v>
      </c>
      <c r="D32" s="129"/>
      <c r="E32" s="125"/>
      <c r="F32" s="162">
        <v>0.0</v>
      </c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</row>
    <row r="33" ht="15.75" customHeight="1">
      <c r="A33" s="164" t="s">
        <v>124</v>
      </c>
      <c r="B33" s="165"/>
      <c r="C33" s="166">
        <v>0.0</v>
      </c>
      <c r="D33" s="129"/>
      <c r="E33" s="125"/>
      <c r="F33" s="162">
        <v>0.0</v>
      </c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</row>
    <row r="34" ht="15.75" customHeight="1">
      <c r="A34" s="167" t="s">
        <v>125</v>
      </c>
      <c r="B34" s="167"/>
      <c r="C34" s="169">
        <f>SUM(C24:C33)</f>
        <v>7799.5</v>
      </c>
      <c r="D34" s="92"/>
      <c r="E34" s="125"/>
      <c r="F34" s="130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</row>
    <row r="35" ht="15.75" customHeight="1">
      <c r="A35" s="92"/>
      <c r="B35" s="154"/>
      <c r="C35" s="91"/>
      <c r="D35" s="129"/>
      <c r="E35" s="125"/>
      <c r="F35" s="130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</row>
    <row r="36" ht="15.75" customHeight="1">
      <c r="A36" s="184" t="s">
        <v>126</v>
      </c>
      <c r="B36" s="185" t="s">
        <v>3</v>
      </c>
      <c r="C36" s="186">
        <f>SUM(C20,C34)</f>
        <v>37139</v>
      </c>
      <c r="D36" s="129"/>
      <c r="E36" s="125"/>
      <c r="F36" s="130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</row>
    <row r="37" ht="15.75" customHeight="1">
      <c r="D37" s="129"/>
      <c r="E37" s="125"/>
      <c r="F37" s="130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</row>
    <row r="38" ht="15.75" customHeight="1">
      <c r="A38" s="92"/>
      <c r="B38" s="154"/>
      <c r="C38" s="154"/>
      <c r="D38" s="129"/>
      <c r="E38" s="125"/>
      <c r="F38" s="130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</row>
    <row r="39" ht="15.75" customHeight="1">
      <c r="A39" s="92"/>
      <c r="B39" s="154"/>
      <c r="C39" s="154"/>
      <c r="D39" s="129"/>
      <c r="E39" s="125"/>
      <c r="F39" s="130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</row>
    <row r="40" ht="15.75" customHeight="1">
      <c r="A40" s="92"/>
      <c r="B40" s="154"/>
      <c r="C40" s="154"/>
      <c r="D40" s="129"/>
      <c r="E40" s="125"/>
      <c r="F40" s="130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</row>
    <row r="41" ht="15.75" customHeight="1">
      <c r="A41" s="92"/>
      <c r="B41" s="154"/>
      <c r="C41" s="154"/>
      <c r="D41" s="129"/>
      <c r="E41" s="125"/>
      <c r="F41" s="130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C1"/>
    <mergeCell ref="G1:H1"/>
    <mergeCell ref="I1:K1"/>
    <mergeCell ref="G2:H2"/>
    <mergeCell ref="I2:J2"/>
    <mergeCell ref="A3:C3"/>
    <mergeCell ref="F6:G6"/>
    <mergeCell ref="F24:O24"/>
    <mergeCell ref="F25:O25"/>
    <mergeCell ref="A36:A37"/>
    <mergeCell ref="B36:B37"/>
    <mergeCell ref="C36:C37"/>
    <mergeCell ref="F7:G7"/>
    <mergeCell ref="F9:K9"/>
    <mergeCell ref="F15:J15"/>
    <mergeCell ref="F16:G16"/>
    <mergeCell ref="F18:L18"/>
    <mergeCell ref="A22:C22"/>
    <mergeCell ref="P24:S26"/>
    <mergeCell ref="F26:K26"/>
  </mergeCells>
  <dataValidations>
    <dataValidation type="list" allowBlank="1" sqref="C23">
      <formula1>"No,Yes"</formula1>
    </dataValidation>
    <dataValidation type="list" allowBlank="1" sqref="B4:C4">
      <formula1>"Flat Fee,Full Service"</formula1>
    </dataValidation>
  </dataValidations>
  <hyperlinks>
    <hyperlink r:id="rId2" ref="F17"/>
    <hyperlink r:id="rId3" ref="F18"/>
    <hyperlink r:id="rId4" ref="A29"/>
  </hyperlinks>
  <drawing r:id="rId5"/>
  <legacyDrawing r:id="rId6"/>
</worksheet>
</file>