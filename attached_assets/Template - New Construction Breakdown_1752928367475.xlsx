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FpFXCvmPCjTLE/9RdAwqN/w0MnxICfA1S+vxbTh3Zo="/>
    </ext>
  </extLst>
</workbook>
</file>

<file path=xl/sharedStrings.xml><?xml version="1.0" encoding="utf-8"?>
<sst xmlns="http://schemas.openxmlformats.org/spreadsheetml/2006/main" count="138" uniqueCount="77">
  <si>
    <t>Construction Numbers</t>
  </si>
  <si>
    <t>Loan Numbers</t>
  </si>
  <si>
    <t>Key: DO not change anything in grey cells; You can change numbers in white cells; CPSF = Cost Per Sq Ft (cell B27 &amp; C27)</t>
  </si>
  <si>
    <t>Sell Home Price</t>
  </si>
  <si>
    <t>you can change this</t>
  </si>
  <si>
    <t>Closing Cost</t>
  </si>
  <si>
    <t>Project Duration (Days)</t>
  </si>
  <si>
    <t>AB Closing Cost (%)</t>
  </si>
  <si>
    <t>do not touch</t>
  </si>
  <si>
    <t>Gross Income</t>
  </si>
  <si>
    <t xml:space="preserve">Other AB Purchase Cost </t>
  </si>
  <si>
    <t>Target ROI @ 20%</t>
  </si>
  <si>
    <t>BC Selling Closing Cost (%)</t>
  </si>
  <si>
    <t>Land (Pad Ready Cost) Purchase (20% of Gross Income)</t>
  </si>
  <si>
    <t>Miscellaneous Cost (BC)</t>
  </si>
  <si>
    <t>Total CC (Excluding Realtor Fees)</t>
  </si>
  <si>
    <t>Number of Units</t>
  </si>
  <si>
    <t>Land Purchase Price</t>
  </si>
  <si>
    <t>Lender Information</t>
  </si>
  <si>
    <t>Yearly</t>
  </si>
  <si>
    <t>Monthly</t>
  </si>
  <si>
    <t>Daily</t>
  </si>
  <si>
    <t>Pad price before pad ready</t>
  </si>
  <si>
    <t>Total Loan Amount (P&amp;C if applicable)</t>
  </si>
  <si>
    <t>Build Cost Available after Land Acq</t>
  </si>
  <si>
    <t>Rate</t>
  </si>
  <si>
    <t>Sewer &amp; Water Taps</t>
  </si>
  <si>
    <t>Estimated Hold Time (Days)</t>
  </si>
  <si>
    <t>Surveys</t>
  </si>
  <si>
    <t>Per Day Amount</t>
  </si>
  <si>
    <t>Soil test and environmentals</t>
  </si>
  <si>
    <t>Points</t>
  </si>
  <si>
    <t>Clearing Lot</t>
  </si>
  <si>
    <t>Total Hold Cost</t>
  </si>
  <si>
    <t>Civil Plans and Engineering</t>
  </si>
  <si>
    <t>Entitlement Fees</t>
  </si>
  <si>
    <t>Architectural Plans and Structural Engineering</t>
  </si>
  <si>
    <t>Alternative Holding Cost</t>
  </si>
  <si>
    <t>Insurance</t>
  </si>
  <si>
    <t>if you hire someone to build it, you don't need insurance - builder will carry the builders risk insurance</t>
  </si>
  <si>
    <t>Grading and infrastructure</t>
  </si>
  <si>
    <t>Taxes</t>
  </si>
  <si>
    <t>GL = General Liability</t>
  </si>
  <si>
    <t>Development Cost</t>
  </si>
  <si>
    <t>&lt;- To the good</t>
  </si>
  <si>
    <t>Utilities</t>
  </si>
  <si>
    <t>Pad ready cost</t>
  </si>
  <si>
    <t>Mowing/Maintenance</t>
  </si>
  <si>
    <t>Other Expenses (HOA)</t>
  </si>
  <si>
    <t>Vertical Construction</t>
  </si>
  <si>
    <t>Total Alternative Holding Cost</t>
  </si>
  <si>
    <t>Build Cost</t>
  </si>
  <si>
    <t>Total Hold Days</t>
  </si>
  <si>
    <t>Total Sq ft</t>
  </si>
  <si>
    <t>Total Cost for Holding No. of Days</t>
  </si>
  <si>
    <t>Cost per sq ft</t>
  </si>
  <si>
    <t>cost per sq(can change this)</t>
  </si>
  <si>
    <t>Sq ft per unit</t>
  </si>
  <si>
    <t>Realtor Fees (%)</t>
  </si>
  <si>
    <t>Construction Project Time (Days)</t>
  </si>
  <si>
    <t>Estimated Profit (w/o holding cost/CC/Realtorfees)</t>
  </si>
  <si>
    <t>Realtor Amount</t>
  </si>
  <si>
    <t>always add 20% to the build cost when sending lender</t>
  </si>
  <si>
    <t>Total Realtor Fees</t>
  </si>
  <si>
    <t>Development Fee</t>
  </si>
  <si>
    <t>Final Numbers</t>
  </si>
  <si>
    <t>Sell Price</t>
  </si>
  <si>
    <t>Purchase</t>
  </si>
  <si>
    <t>Development</t>
  </si>
  <si>
    <t>Holding Cost</t>
  </si>
  <si>
    <t>Realtor Fees</t>
  </si>
  <si>
    <t>Total Expenses</t>
  </si>
  <si>
    <t xml:space="preserve">Profit (w formula CPSF-B30) </t>
  </si>
  <si>
    <t>orange = approx profit with realistic holding cost</t>
  </si>
  <si>
    <t>Total Expenses (w/C27)</t>
  </si>
  <si>
    <t>Profit (w written formula CPSF-C30)</t>
  </si>
  <si>
    <t>^includes holding cost being half of yearly holding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</si>
</sst>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18">
    <font>
      <sz val="10.0"/>
      <color rgb="FF000000"/>
      <name val="Arial"/>
      <scheme val="minor"/>
    </font>
    <font>
      <b/>
      <color rgb="FF000000"/>
      <name val="Arial"/>
    </font>
    <font/>
    <font>
      <color theme="1"/>
      <name val="Arial"/>
    </font>
    <font>
      <b/>
      <sz val="9.0"/>
      <color rgb="FF000000"/>
      <name val="Arial"/>
    </font>
    <font>
      <color rgb="FF000000"/>
      <name val="Arial"/>
    </font>
    <font>
      <b/>
      <color theme="1"/>
      <name val="Arial"/>
    </font>
    <font>
      <sz val="7.0"/>
      <color theme="1"/>
      <name val="Arial"/>
    </font>
    <font>
      <b/>
      <sz val="12.0"/>
      <color theme="1"/>
      <name val="Arial"/>
    </font>
    <font>
      <sz val="7.0"/>
      <color rgb="FFFF0000"/>
      <name val="Arial"/>
    </font>
    <font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1.0"/>
      <color theme="1"/>
      <name val="Arial"/>
    </font>
    <font>
      <sz val="10.0"/>
      <color rgb="FF000000"/>
      <name val="Arial"/>
    </font>
    <font>
      <sz val="6.0"/>
      <color theme="1"/>
      <name val="Arial"/>
    </font>
    <font>
      <sz val="9.0"/>
      <color rgb="FF4285F4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</fills>
  <borders count="3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bottom style="thin">
        <color rgb="FFFFFFFF"/>
      </bottom>
    </border>
    <border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Border="1" applyFont="1"/>
    <xf borderId="0" fillId="3" fontId="3" numFmtId="0" xfId="0" applyFill="1" applyFont="1"/>
    <xf borderId="1" fillId="2" fontId="1" numFmtId="0" xfId="0" applyBorder="1" applyFont="1"/>
    <xf borderId="0" fillId="2" fontId="4" numFmtId="0" xfId="0" applyAlignment="1" applyFont="1">
      <alignment vertical="bottom"/>
    </xf>
    <xf borderId="0" fillId="2" fontId="5" numFmtId="0" xfId="0" applyFon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2" fillId="4" fontId="6" numFmtId="0" xfId="0" applyAlignment="1" applyBorder="1" applyFill="1" applyFont="1">
      <alignment vertical="bottom"/>
    </xf>
    <xf borderId="3" fillId="5" fontId="3" numFmtId="165" xfId="0" applyAlignment="1" applyBorder="1" applyFill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4" fillId="6" fontId="8" numFmtId="0" xfId="0" applyAlignment="1" applyBorder="1" applyFill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4" fontId="6" numFmtId="0" xfId="0" applyAlignment="1" applyBorder="1" applyFont="1">
      <alignment vertical="bottom"/>
    </xf>
    <xf borderId="3" fillId="5" fontId="3" numFmtId="0" xfId="0" applyAlignment="1" applyBorder="1" applyFont="1">
      <alignment readingOrder="0" vertical="bottom"/>
    </xf>
    <xf borderId="8" fillId="7" fontId="3" numFmtId="0" xfId="0" applyAlignment="1" applyBorder="1" applyFill="1" applyFont="1">
      <alignment vertical="bottom"/>
    </xf>
    <xf borderId="9" fillId="5" fontId="3" numFmtId="10" xfId="0" applyAlignment="1" applyBorder="1" applyFont="1" applyNumberFormat="1">
      <alignment horizontal="right" vertical="bottom"/>
    </xf>
    <xf borderId="10" fillId="7" fontId="3" numFmtId="165" xfId="0" applyBorder="1" applyFont="1" applyNumberFormat="1"/>
    <xf borderId="0" fillId="0" fontId="9" numFmtId="0" xfId="0" applyAlignment="1" applyFont="1">
      <alignment vertical="bottom"/>
    </xf>
    <xf borderId="3" fillId="4" fontId="3" numFmtId="165" xfId="0" applyAlignment="1" applyBorder="1" applyFont="1" applyNumberFormat="1">
      <alignment horizontal="right" vertical="bottom"/>
    </xf>
    <xf borderId="11" fillId="7" fontId="3" numFmtId="0" xfId="0" applyBorder="1" applyFont="1"/>
    <xf borderId="12" fillId="5" fontId="3" numFmtId="165" xfId="0" applyAlignment="1" applyBorder="1" applyFont="1" applyNumberFormat="1">
      <alignment horizontal="right" vertical="bottom"/>
    </xf>
    <xf borderId="13" fillId="7" fontId="3" numFmtId="165" xfId="0" applyBorder="1" applyFont="1" applyNumberFormat="1"/>
    <xf borderId="14" fillId="4" fontId="6" numFmtId="0" xfId="0" applyAlignment="1" applyBorder="1" applyFont="1">
      <alignment vertical="bottom"/>
    </xf>
    <xf borderId="12" fillId="5" fontId="3" numFmtId="10" xfId="0" applyAlignment="1" applyBorder="1" applyFont="1" applyNumberFormat="1">
      <alignment horizontal="right" vertical="bottom"/>
    </xf>
    <xf borderId="3" fillId="4" fontId="6" numFmtId="0" xfId="0" applyAlignment="1" applyBorder="1" applyFont="1">
      <alignment vertical="bottom"/>
    </xf>
    <xf borderId="15" fillId="7" fontId="3" numFmtId="0" xfId="0" applyAlignment="1" applyBorder="1" applyFont="1">
      <alignment vertical="bottom"/>
    </xf>
    <xf borderId="16" fillId="5" fontId="3" numFmtId="165" xfId="0" applyAlignment="1" applyBorder="1" applyFont="1" applyNumberFormat="1">
      <alignment horizontal="right" vertical="bottom"/>
    </xf>
    <xf borderId="17" fillId="7" fontId="3" numFmtId="165" xfId="0" applyBorder="1" applyFont="1" applyNumberFormat="1"/>
    <xf borderId="0" fillId="0" fontId="3" numFmtId="0" xfId="0" applyAlignment="1" applyFont="1">
      <alignment horizontal="right" vertical="bottom"/>
    </xf>
    <xf borderId="0" fillId="5" fontId="10" numFmtId="0" xfId="0" applyFont="1"/>
    <xf borderId="0" fillId="5" fontId="10" numFmtId="165" xfId="0" applyFont="1" applyNumberFormat="1"/>
    <xf borderId="2" fillId="4" fontId="1" numFmtId="0" xfId="0" applyAlignment="1" applyBorder="1" applyFont="1">
      <alignment vertical="bottom"/>
    </xf>
    <xf borderId="3" fillId="5" fontId="3" numFmtId="0" xfId="0" applyAlignment="1" applyBorder="1" applyFont="1">
      <alignment horizontal="right" readingOrder="0" vertical="bottom"/>
    </xf>
    <xf borderId="0" fillId="5" fontId="3" numFmtId="0" xfId="0" applyFont="1"/>
    <xf borderId="7" fillId="4" fontId="1" numFmtId="0" xfId="0" applyAlignment="1" applyBorder="1" applyFont="1">
      <alignment vertical="bottom"/>
    </xf>
    <xf borderId="4" fillId="8" fontId="11" numFmtId="0" xfId="0" applyBorder="1" applyFill="1" applyFont="1"/>
    <xf borderId="3" fillId="8" fontId="12" numFmtId="0" xfId="0" applyBorder="1" applyFont="1"/>
    <xf borderId="3" fillId="4" fontId="5" numFmtId="165" xfId="0" applyAlignment="1" applyBorder="1" applyFont="1" applyNumberFormat="1">
      <alignment horizontal="right" vertical="bottom"/>
    </xf>
    <xf borderId="18" fillId="7" fontId="3" numFmtId="0" xfId="0" applyBorder="1" applyFont="1"/>
    <xf borderId="19" fillId="0" fontId="2" numFmtId="0" xfId="0" applyBorder="1" applyFont="1"/>
    <xf borderId="3" fillId="9" fontId="3" numFmtId="165" xfId="0" applyBorder="1" applyFill="1" applyFont="1" applyNumberFormat="1"/>
    <xf borderId="12" fillId="5" fontId="3" numFmtId="9" xfId="0" applyBorder="1" applyFont="1" applyNumberFormat="1"/>
    <xf borderId="20" fillId="5" fontId="3" numFmtId="165" xfId="0" applyAlignment="1" applyBorder="1" applyFont="1" applyNumberFormat="1">
      <alignment horizontal="right" readingOrder="0" vertical="bottom"/>
    </xf>
    <xf borderId="21" fillId="7" fontId="3" numFmtId="0" xfId="0" applyAlignment="1" applyBorder="1" applyFont="1">
      <alignment vertical="bottom"/>
    </xf>
    <xf borderId="22" fillId="0" fontId="2" numFmtId="0" xfId="0" applyBorder="1" applyFont="1"/>
    <xf borderId="13" fillId="7" fontId="3" numFmtId="3" xfId="0" applyBorder="1" applyFont="1" applyNumberFormat="1"/>
    <xf borderId="23" fillId="5" fontId="3" numFmtId="0" xfId="0" applyBorder="1" applyFont="1"/>
    <xf borderId="21" fillId="7" fontId="3" numFmtId="0" xfId="0" applyBorder="1" applyFont="1"/>
    <xf borderId="15" fillId="7" fontId="3" numFmtId="0" xfId="0" applyBorder="1" applyFont="1"/>
    <xf borderId="16" fillId="5" fontId="3" numFmtId="9" xfId="0" applyBorder="1" applyFont="1" applyNumberFormat="1"/>
    <xf borderId="3" fillId="10" fontId="10" numFmtId="0" xfId="0" applyBorder="1" applyFill="1" applyFont="1"/>
    <xf borderId="3" fillId="10" fontId="10" numFmtId="164" xfId="0" applyBorder="1" applyFont="1" applyNumberFormat="1"/>
    <xf borderId="3" fillId="10" fontId="10" numFmtId="165" xfId="0" applyBorder="1" applyFont="1" applyNumberFormat="1"/>
    <xf borderId="0" fillId="5" fontId="5" numFmtId="164" xfId="0" applyFont="1" applyNumberFormat="1"/>
    <xf borderId="24" fillId="0" fontId="3" numFmtId="0" xfId="0" applyBorder="1" applyFont="1"/>
    <xf borderId="0" fillId="0" fontId="8" numFmtId="0" xfId="0" applyFont="1"/>
    <xf borderId="0" fillId="0" fontId="13" numFmtId="0" xfId="0" applyFont="1"/>
    <xf borderId="4" fillId="11" fontId="11" numFmtId="0" xfId="0" applyBorder="1" applyFill="1" applyFont="1"/>
    <xf borderId="3" fillId="11" fontId="12" numFmtId="0" xfId="0" applyBorder="1" applyFont="1"/>
    <xf borderId="3" fillId="5" fontId="3" numFmtId="165" xfId="0" applyAlignment="1" applyBorder="1" applyFont="1" applyNumberFormat="1">
      <alignment horizontal="right" vertical="bottom"/>
    </xf>
    <xf borderId="8" fillId="7" fontId="3" numFmtId="0" xfId="0" applyBorder="1" applyFont="1"/>
    <xf borderId="9" fillId="5" fontId="3" numFmtId="165" xfId="0" applyBorder="1" applyFont="1" applyNumberFormat="1"/>
    <xf borderId="9" fillId="7" fontId="3" numFmtId="0" xfId="0" applyBorder="1" applyFont="1"/>
    <xf borderId="9" fillId="9" fontId="3" numFmtId="165" xfId="0" applyBorder="1" applyFont="1" applyNumberFormat="1"/>
    <xf borderId="10" fillId="9" fontId="3" numFmtId="165" xfId="0" applyBorder="1" applyFont="1" applyNumberFormat="1"/>
    <xf borderId="0" fillId="0" fontId="3" numFmtId="0" xfId="0" applyFont="1"/>
    <xf borderId="14" fillId="4" fontId="1" numFmtId="0" xfId="0" applyAlignment="1" applyBorder="1" applyFont="1">
      <alignment vertical="bottom"/>
    </xf>
    <xf borderId="12" fillId="5" fontId="14" numFmtId="165" xfId="0" applyBorder="1" applyFont="1" applyNumberFormat="1"/>
    <xf borderId="12" fillId="7" fontId="3" numFmtId="0" xfId="0" applyBorder="1" applyFont="1"/>
    <xf borderId="12" fillId="9" fontId="3" numFmtId="165" xfId="0" applyBorder="1" applyFont="1" applyNumberFormat="1"/>
    <xf borderId="13" fillId="9" fontId="3" numFmtId="165" xfId="0" applyBorder="1" applyFont="1" applyNumberFormat="1"/>
    <xf borderId="3" fillId="9" fontId="1" numFmtId="0" xfId="0" applyAlignment="1" applyBorder="1" applyFont="1">
      <alignment vertical="bottom"/>
    </xf>
    <xf borderId="3" fillId="9" fontId="3" numFmtId="165" xfId="0" applyAlignment="1" applyBorder="1" applyFont="1" applyNumberFormat="1">
      <alignment horizontal="right" vertical="bottom"/>
    </xf>
    <xf borderId="3" fillId="9" fontId="6" numFmtId="165" xfId="0" applyAlignment="1" applyBorder="1" applyFont="1" applyNumberFormat="1">
      <alignment vertical="bottom"/>
    </xf>
    <xf borderId="12" fillId="5" fontId="3" numFmtId="165" xfId="0" applyBorder="1" applyFont="1" applyNumberFormat="1"/>
    <xf borderId="3" fillId="9" fontId="5" numFmtId="165" xfId="0" applyAlignment="1" applyBorder="1" applyFont="1" applyNumberFormat="1">
      <alignment horizontal="right" vertical="bottom"/>
    </xf>
    <xf borderId="3" fillId="9" fontId="15" numFmtId="165" xfId="0" applyAlignment="1" applyBorder="1" applyFont="1" applyNumberFormat="1">
      <alignment vertical="bottom"/>
    </xf>
    <xf borderId="0" fillId="12" fontId="3" numFmtId="0" xfId="0" applyAlignment="1" applyFill="1" applyFont="1">
      <alignment vertical="bottom"/>
    </xf>
    <xf borderId="16" fillId="5" fontId="14" numFmtId="165" xfId="0" applyBorder="1" applyFont="1" applyNumberFormat="1"/>
    <xf borderId="16" fillId="7" fontId="3" numFmtId="0" xfId="0" applyBorder="1" applyFont="1"/>
    <xf borderId="16" fillId="9" fontId="3" numFmtId="165" xfId="0" applyBorder="1" applyFont="1" applyNumberFormat="1"/>
    <xf borderId="17" fillId="9" fontId="3" numFmtId="165" xfId="0" applyBorder="1" applyFont="1" applyNumberFormat="1"/>
    <xf borderId="4" fillId="12" fontId="6" numFmtId="0" xfId="0" applyAlignment="1" applyBorder="1" applyFont="1">
      <alignment vertical="bottom"/>
    </xf>
    <xf borderId="0" fillId="13" fontId="3" numFmtId="0" xfId="0" applyAlignment="1" applyFill="1" applyFont="1">
      <alignment vertical="bottom"/>
    </xf>
    <xf borderId="3" fillId="11" fontId="5" numFmtId="0" xfId="0" applyBorder="1" applyFont="1"/>
    <xf borderId="3" fillId="11" fontId="1" numFmtId="165" xfId="0" applyBorder="1" applyFont="1" applyNumberFormat="1"/>
    <xf borderId="2" fillId="4" fontId="5" numFmtId="0" xfId="0" applyAlignment="1" applyBorder="1" applyFont="1">
      <alignment vertical="bottom"/>
    </xf>
    <xf borderId="25" fillId="7" fontId="3" numFmtId="0" xfId="0" applyBorder="1" applyFont="1"/>
    <xf borderId="26" fillId="7" fontId="3" numFmtId="3" xfId="0" applyAlignment="1" applyBorder="1" applyFont="1" applyNumberFormat="1">
      <alignment horizontal="left"/>
    </xf>
    <xf borderId="27" fillId="0" fontId="2" numFmtId="0" xfId="0" applyBorder="1" applyFont="1"/>
    <xf borderId="28" fillId="9" fontId="3" numFmtId="0" xfId="0" applyBorder="1" applyFont="1"/>
    <xf borderId="29" fillId="9" fontId="3" numFmtId="0" xfId="0" applyBorder="1" applyFont="1"/>
    <xf borderId="3" fillId="11" fontId="1" numFmtId="3" xfId="0" applyBorder="1" applyFont="1" applyNumberFormat="1"/>
    <xf borderId="7" fillId="4" fontId="5" numFmtId="0" xfId="0" applyAlignment="1" applyBorder="1" applyFont="1">
      <alignment vertical="bottom"/>
    </xf>
    <xf borderId="3" fillId="4" fontId="5" numFmtId="0" xfId="0" applyAlignment="1" applyBorder="1" applyFont="1">
      <alignment horizontal="right" readingOrder="0" vertical="bottom"/>
    </xf>
    <xf borderId="3" fillId="11" fontId="5" numFmtId="165" xfId="0" applyBorder="1" applyFont="1" applyNumberFormat="1"/>
    <xf borderId="3" fillId="0" fontId="6" numFmtId="165" xfId="0" applyAlignment="1" applyBorder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3" fillId="5" fontId="3" numFmtId="0" xfId="0" applyAlignment="1" applyBorder="1" applyFont="1">
      <alignment horizontal="right" vertical="bottom"/>
    </xf>
    <xf borderId="4" fillId="2" fontId="8" numFmtId="0" xfId="0" applyAlignment="1" applyBorder="1" applyFont="1">
      <alignment vertical="bottom"/>
    </xf>
    <xf borderId="14" fillId="4" fontId="5" numFmtId="0" xfId="0" applyAlignment="1" applyBorder="1" applyFont="1">
      <alignment vertical="bottom"/>
    </xf>
    <xf borderId="3" fillId="5" fontId="3" numFmtId="3" xfId="0" applyAlignment="1" applyBorder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3" fillId="9" fontId="5" numFmtId="0" xfId="0" applyAlignment="1" applyBorder="1" applyFont="1">
      <alignment vertical="bottom"/>
    </xf>
    <xf borderId="0" fillId="5" fontId="17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4" fillId="14" fontId="5" numFmtId="0" xfId="0" applyBorder="1" applyFill="1" applyFont="1"/>
    <xf borderId="3" fillId="14" fontId="5" numFmtId="165" xfId="0" applyBorder="1" applyFont="1" applyNumberFormat="1"/>
    <xf borderId="0" fillId="0" fontId="3" numFmtId="165" xfId="0" applyFont="1" applyNumberFormat="1"/>
    <xf borderId="0" fillId="0" fontId="3" numFmtId="164" xfId="0" applyFont="1" applyNumberFormat="1"/>
    <xf borderId="4" fillId="12" fontId="8" numFmtId="0" xfId="0" applyAlignment="1" applyBorder="1" applyFont="1">
      <alignment vertical="bottom"/>
    </xf>
    <xf borderId="9" fillId="7" fontId="3" numFmtId="165" xfId="0" applyBorder="1" applyFont="1" applyNumberFormat="1"/>
    <xf borderId="10" fillId="7" fontId="3" numFmtId="0" xfId="0" applyBorder="1" applyFont="1"/>
    <xf borderId="12" fillId="7" fontId="3" numFmtId="165" xfId="0" applyBorder="1" applyFont="1" applyNumberFormat="1"/>
    <xf borderId="13" fillId="7" fontId="3" numFmtId="0" xfId="0" applyBorder="1" applyFont="1"/>
    <xf borderId="13" fillId="7" fontId="3" numFmtId="164" xfId="0" applyBorder="1" applyFont="1" applyNumberFormat="1"/>
    <xf borderId="16" fillId="7" fontId="3" numFmtId="165" xfId="0" applyBorder="1" applyFont="1" applyNumberFormat="1"/>
    <xf borderId="17" fillId="7" fontId="3" numFmtId="0" xfId="0" applyBorder="1" applyFont="1"/>
    <xf borderId="4" fillId="12" fontId="1" numFmtId="0" xfId="0" applyBorder="1" applyFont="1"/>
    <xf borderId="3" fillId="9" fontId="1" numFmtId="165" xfId="0" applyBorder="1" applyFont="1" applyNumberFormat="1"/>
    <xf borderId="3" fillId="12" fontId="1" numFmtId="0" xfId="0" applyBorder="1" applyFont="1"/>
    <xf borderId="0" fillId="0" fontId="16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13.75"/>
    <col customWidth="1" min="3" max="3" width="15.75"/>
    <col customWidth="1" min="4" max="4" width="13.5"/>
    <col customWidth="1" min="5" max="5" width="1.13"/>
    <col customWidth="1" min="6" max="6" width="29.13"/>
    <col customWidth="1" min="8" max="8" width="13.88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</row>
    <row r="2" ht="15.75" customHeight="1">
      <c r="A2" s="5" t="s">
        <v>2</v>
      </c>
      <c r="F2" s="6"/>
    </row>
    <row r="3" ht="15.75" customHeight="1">
      <c r="A3" s="7"/>
      <c r="B3" s="8"/>
      <c r="C3" s="7"/>
      <c r="D3" s="9"/>
    </row>
    <row r="4" ht="15.75" customHeight="1">
      <c r="A4" s="7"/>
      <c r="B4" s="8"/>
      <c r="C4" s="7"/>
      <c r="D4" s="9"/>
    </row>
    <row r="5" ht="15.75" customHeight="1">
      <c r="A5" s="10" t="s">
        <v>3</v>
      </c>
      <c r="B5" s="11">
        <v>1500000.0</v>
      </c>
      <c r="C5" s="12" t="s">
        <v>4</v>
      </c>
      <c r="D5" s="9"/>
      <c r="F5" s="13" t="s">
        <v>5</v>
      </c>
      <c r="G5" s="14"/>
      <c r="H5" s="15"/>
    </row>
    <row r="6" ht="15.75" customHeight="1">
      <c r="A6" s="16" t="s">
        <v>6</v>
      </c>
      <c r="B6" s="17">
        <v>365.0</v>
      </c>
      <c r="C6" s="12" t="s">
        <v>4</v>
      </c>
      <c r="D6" s="7"/>
      <c r="F6" s="18" t="s">
        <v>7</v>
      </c>
      <c r="G6" s="19">
        <v>0.06</v>
      </c>
      <c r="H6" s="20">
        <f>B12*G6</f>
        <v>21000</v>
      </c>
      <c r="I6" s="21" t="s">
        <v>8</v>
      </c>
    </row>
    <row r="7" ht="15.75" customHeight="1">
      <c r="A7" s="16" t="s">
        <v>9</v>
      </c>
      <c r="B7" s="22">
        <f>B5*B11</f>
        <v>7500000</v>
      </c>
      <c r="C7" s="21" t="s">
        <v>8</v>
      </c>
      <c r="D7" s="9"/>
      <c r="F7" s="23" t="s">
        <v>10</v>
      </c>
      <c r="G7" s="24">
        <v>3000.0</v>
      </c>
      <c r="H7" s="25">
        <f>G7</f>
        <v>3000</v>
      </c>
      <c r="I7" s="21" t="s">
        <v>8</v>
      </c>
    </row>
    <row r="8" ht="15.75" customHeight="1">
      <c r="A8" s="26" t="s">
        <v>11</v>
      </c>
      <c r="B8" s="22">
        <f>B7*0.2</f>
        <v>1500000</v>
      </c>
      <c r="C8" s="21" t="s">
        <v>8</v>
      </c>
      <c r="D8" s="7"/>
      <c r="F8" s="23" t="s">
        <v>12</v>
      </c>
      <c r="G8" s="27">
        <v>0.01</v>
      </c>
      <c r="H8" s="25">
        <f>B5*G8</f>
        <v>15000</v>
      </c>
      <c r="I8" s="21" t="s">
        <v>8</v>
      </c>
    </row>
    <row r="9" ht="15.75" customHeight="1">
      <c r="A9" s="28" t="s">
        <v>13</v>
      </c>
      <c r="B9" s="22">
        <f>B7*0.2</f>
        <v>1500000</v>
      </c>
      <c r="C9" s="21" t="s">
        <v>8</v>
      </c>
      <c r="D9" s="7"/>
      <c r="F9" s="29" t="s">
        <v>14</v>
      </c>
      <c r="G9" s="30">
        <v>0.0</v>
      </c>
      <c r="H9" s="31">
        <f>G9</f>
        <v>0</v>
      </c>
      <c r="I9" s="21" t="s">
        <v>8</v>
      </c>
    </row>
    <row r="10" ht="15.75" customHeight="1">
      <c r="A10" s="9"/>
      <c r="B10" s="32"/>
      <c r="C10" s="7"/>
      <c r="D10" s="7"/>
      <c r="F10" s="33" t="s">
        <v>15</v>
      </c>
      <c r="H10" s="34">
        <f>SUM(H6:H9)</f>
        <v>39000</v>
      </c>
    </row>
    <row r="11" ht="15.75" customHeight="1">
      <c r="A11" s="35" t="s">
        <v>16</v>
      </c>
      <c r="B11" s="36">
        <v>5.0</v>
      </c>
      <c r="C11" s="12" t="s">
        <v>4</v>
      </c>
      <c r="D11" s="7"/>
      <c r="F11" s="37"/>
      <c r="G11" s="37"/>
      <c r="H11" s="37"/>
    </row>
    <row r="12" ht="15.75" customHeight="1">
      <c r="A12" s="38" t="s">
        <v>17</v>
      </c>
      <c r="B12" s="11">
        <v>350000.0</v>
      </c>
      <c r="C12" s="12" t="s">
        <v>4</v>
      </c>
      <c r="D12" s="7"/>
      <c r="F12" s="39" t="s">
        <v>18</v>
      </c>
      <c r="G12" s="14"/>
      <c r="H12" s="15"/>
      <c r="I12" s="40" t="s">
        <v>19</v>
      </c>
      <c r="J12" s="40" t="s">
        <v>20</v>
      </c>
      <c r="K12" s="40" t="s">
        <v>21</v>
      </c>
    </row>
    <row r="13" ht="15.75" customHeight="1">
      <c r="A13" s="38" t="s">
        <v>22</v>
      </c>
      <c r="B13" s="41">
        <f>B12/B11</f>
        <v>70000</v>
      </c>
      <c r="C13" s="21" t="s">
        <v>8</v>
      </c>
      <c r="D13" s="9"/>
      <c r="F13" s="42" t="s">
        <v>23</v>
      </c>
      <c r="G13" s="43"/>
      <c r="H13" s="20">
        <f>B24+C28*B11</f>
        <v>14340500</v>
      </c>
      <c r="I13" s="44">
        <f t="shared" ref="I13:I14" si="1">H13</f>
        <v>14340500</v>
      </c>
      <c r="J13" s="44">
        <f t="shared" ref="J13:J14" si="2">I13/12</f>
        <v>1195041.667</v>
      </c>
      <c r="K13" s="44">
        <f t="shared" ref="K13:K14" si="3">I13/365</f>
        <v>39289.0411</v>
      </c>
      <c r="L13" s="21" t="s">
        <v>8</v>
      </c>
    </row>
    <row r="14" ht="15.75" customHeight="1">
      <c r="A14" s="38" t="s">
        <v>24</v>
      </c>
      <c r="B14" s="41">
        <f>B9-B12</f>
        <v>1150000</v>
      </c>
      <c r="C14" s="21" t="s">
        <v>8</v>
      </c>
      <c r="D14" s="7"/>
      <c r="F14" s="23" t="s">
        <v>25</v>
      </c>
      <c r="G14" s="45">
        <v>0.115</v>
      </c>
      <c r="H14" s="25">
        <f>H13*G14</f>
        <v>1649157.5</v>
      </c>
      <c r="I14" s="44">
        <f t="shared" si="1"/>
        <v>1649157.5</v>
      </c>
      <c r="J14" s="44">
        <f t="shared" si="2"/>
        <v>137429.7917</v>
      </c>
      <c r="K14" s="44">
        <f t="shared" si="3"/>
        <v>4518.239726</v>
      </c>
      <c r="L14" s="21" t="s">
        <v>8</v>
      </c>
    </row>
    <row r="15" ht="15.75" customHeight="1">
      <c r="A15" s="38" t="s">
        <v>26</v>
      </c>
      <c r="B15" s="46">
        <v>15000.0</v>
      </c>
      <c r="C15" s="12" t="s">
        <v>4</v>
      </c>
      <c r="D15" s="9"/>
      <c r="F15" s="47" t="s">
        <v>27</v>
      </c>
      <c r="G15" s="48"/>
      <c r="H15" s="49">
        <f>B32</f>
        <v>150</v>
      </c>
      <c r="I15" s="50"/>
      <c r="J15" s="50"/>
      <c r="K15" s="50"/>
      <c r="L15" s="21" t="s">
        <v>8</v>
      </c>
    </row>
    <row r="16" ht="15.75" customHeight="1">
      <c r="A16" s="38" t="s">
        <v>28</v>
      </c>
      <c r="B16" s="11">
        <v>7000.0</v>
      </c>
      <c r="C16" s="12" t="s">
        <v>4</v>
      </c>
      <c r="D16" s="7"/>
      <c r="F16" s="51" t="s">
        <v>29</v>
      </c>
      <c r="G16" s="48"/>
      <c r="H16" s="25">
        <f>H14/365</f>
        <v>4518.239726</v>
      </c>
      <c r="I16" s="50"/>
      <c r="J16" s="50"/>
      <c r="K16" s="50"/>
      <c r="L16" s="21" t="s">
        <v>8</v>
      </c>
    </row>
    <row r="17" ht="15.75" customHeight="1">
      <c r="A17" s="38" t="s">
        <v>30</v>
      </c>
      <c r="B17" s="11">
        <v>4000.0</v>
      </c>
      <c r="C17" s="12" t="s">
        <v>4</v>
      </c>
      <c r="D17" s="7"/>
      <c r="F17" s="52" t="s">
        <v>31</v>
      </c>
      <c r="G17" s="53">
        <v>0.015</v>
      </c>
      <c r="H17" s="31">
        <f>G17*H13</f>
        <v>215107.5</v>
      </c>
      <c r="I17" s="50"/>
      <c r="J17" s="50"/>
      <c r="K17" s="50"/>
      <c r="L17" s="21" t="s">
        <v>8</v>
      </c>
    </row>
    <row r="18" ht="15.75" customHeight="1">
      <c r="A18" s="38" t="s">
        <v>32</v>
      </c>
      <c r="B18" s="11">
        <v>10000.0</v>
      </c>
      <c r="C18" s="12" t="s">
        <v>4</v>
      </c>
      <c r="D18" s="7"/>
      <c r="F18" s="54" t="s">
        <v>33</v>
      </c>
      <c r="G18" s="55"/>
      <c r="H18" s="56">
        <f>(H16*H15)+H17</f>
        <v>892843.4589</v>
      </c>
      <c r="I18" s="57">
        <f>((H16*H15)/2+H17)</f>
        <v>553975.4795</v>
      </c>
      <c r="J18" s="33"/>
      <c r="K18" s="33"/>
      <c r="L18" s="21" t="s">
        <v>8</v>
      </c>
    </row>
    <row r="19" ht="15.75" customHeight="1">
      <c r="A19" s="38" t="s">
        <v>34</v>
      </c>
      <c r="B19" s="11">
        <v>25000.0</v>
      </c>
      <c r="C19" s="12" t="s">
        <v>4</v>
      </c>
      <c r="D19" s="9"/>
      <c r="I19" s="58"/>
      <c r="J19" s="58"/>
      <c r="K19" s="58"/>
    </row>
    <row r="20" ht="15.75" customHeight="1">
      <c r="A20" s="38" t="s">
        <v>35</v>
      </c>
      <c r="B20" s="11">
        <v>3000.0</v>
      </c>
      <c r="C20" s="12" t="s">
        <v>4</v>
      </c>
      <c r="D20" s="9"/>
      <c r="F20" s="59"/>
      <c r="G20" s="59"/>
      <c r="H20" s="59"/>
      <c r="I20" s="60"/>
      <c r="J20" s="60"/>
      <c r="K20" s="60"/>
    </row>
    <row r="21" ht="15.75" customHeight="1">
      <c r="A21" s="38" t="s">
        <v>36</v>
      </c>
      <c r="B21" s="11">
        <v>25000.0</v>
      </c>
      <c r="C21" s="12" t="s">
        <v>4</v>
      </c>
      <c r="D21" s="9"/>
      <c r="F21" s="61" t="s">
        <v>37</v>
      </c>
      <c r="G21" s="14"/>
      <c r="H21" s="15"/>
      <c r="I21" s="62" t="s">
        <v>19</v>
      </c>
      <c r="J21" s="62" t="s">
        <v>20</v>
      </c>
      <c r="K21" s="62" t="s">
        <v>21</v>
      </c>
    </row>
    <row r="22" ht="15.75" customHeight="1">
      <c r="B22" s="63">
        <v>0.0</v>
      </c>
      <c r="C22" s="12" t="s">
        <v>4</v>
      </c>
      <c r="D22" s="7"/>
      <c r="F22" s="64" t="s">
        <v>38</v>
      </c>
      <c r="G22" s="65">
        <v>3000.0</v>
      </c>
      <c r="H22" s="66"/>
      <c r="I22" s="67">
        <f t="shared" ref="I22:I26" si="4">G22</f>
        <v>3000</v>
      </c>
      <c r="J22" s="67">
        <f t="shared" ref="J22:J26" si="5">I22/12</f>
        <v>250</v>
      </c>
      <c r="K22" s="68">
        <f t="shared" ref="K22:K26" si="6">I22/365</f>
        <v>8.219178082</v>
      </c>
      <c r="L22" s="21" t="s">
        <v>8</v>
      </c>
      <c r="M22" s="69" t="s">
        <v>39</v>
      </c>
    </row>
    <row r="23" ht="15.75" customHeight="1">
      <c r="A23" s="70" t="s">
        <v>40</v>
      </c>
      <c r="B23" s="63">
        <v>1500.0</v>
      </c>
      <c r="C23" s="12" t="s">
        <v>4</v>
      </c>
      <c r="D23" s="7"/>
      <c r="F23" s="23" t="s">
        <v>41</v>
      </c>
      <c r="G23" s="71">
        <v>1000.0</v>
      </c>
      <c r="H23" s="72"/>
      <c r="I23" s="73">
        <f t="shared" si="4"/>
        <v>1000</v>
      </c>
      <c r="J23" s="73">
        <f t="shared" si="5"/>
        <v>83.33333333</v>
      </c>
      <c r="K23" s="74">
        <f t="shared" si="6"/>
        <v>2.739726027</v>
      </c>
      <c r="L23" s="21" t="s">
        <v>8</v>
      </c>
      <c r="M23" s="69" t="s">
        <v>42</v>
      </c>
    </row>
    <row r="24" ht="15.75" customHeight="1">
      <c r="A24" s="75" t="s">
        <v>43</v>
      </c>
      <c r="B24" s="76">
        <f>SUM(B15:B23)</f>
        <v>90500</v>
      </c>
      <c r="C24" s="77">
        <f>B14-B24</f>
        <v>1059500</v>
      </c>
      <c r="D24" s="69" t="s">
        <v>44</v>
      </c>
      <c r="F24" s="23" t="s">
        <v>45</v>
      </c>
      <c r="G24" s="78">
        <v>1000.0</v>
      </c>
      <c r="H24" s="72"/>
      <c r="I24" s="73">
        <f t="shared" si="4"/>
        <v>1000</v>
      </c>
      <c r="J24" s="73">
        <f t="shared" si="5"/>
        <v>83.33333333</v>
      </c>
      <c r="K24" s="74">
        <f t="shared" si="6"/>
        <v>2.739726027</v>
      </c>
      <c r="L24" s="21" t="s">
        <v>8</v>
      </c>
    </row>
    <row r="25" ht="15.75" customHeight="1">
      <c r="A25" s="75" t="s">
        <v>46</v>
      </c>
      <c r="B25" s="79">
        <f>B24/B11</f>
        <v>18100</v>
      </c>
      <c r="C25" s="80">
        <f>B13+B25</f>
        <v>88100</v>
      </c>
      <c r="D25" s="21" t="s">
        <v>8</v>
      </c>
      <c r="F25" s="23" t="s">
        <v>47</v>
      </c>
      <c r="G25" s="71">
        <v>0.0</v>
      </c>
      <c r="H25" s="72"/>
      <c r="I25" s="73">
        <f t="shared" si="4"/>
        <v>0</v>
      </c>
      <c r="J25" s="73">
        <f t="shared" si="5"/>
        <v>0</v>
      </c>
      <c r="K25" s="74">
        <f t="shared" si="6"/>
        <v>0</v>
      </c>
      <c r="L25" s="21" t="s">
        <v>8</v>
      </c>
    </row>
    <row r="26" ht="15.75" customHeight="1">
      <c r="A26" s="7"/>
      <c r="B26" s="7"/>
      <c r="C26" s="81"/>
      <c r="D26" s="9"/>
      <c r="F26" s="52" t="s">
        <v>48</v>
      </c>
      <c r="G26" s="82">
        <v>0.0</v>
      </c>
      <c r="H26" s="83"/>
      <c r="I26" s="84">
        <f t="shared" si="4"/>
        <v>0</v>
      </c>
      <c r="J26" s="84">
        <f t="shared" si="5"/>
        <v>0</v>
      </c>
      <c r="K26" s="85">
        <f t="shared" si="6"/>
        <v>0</v>
      </c>
      <c r="L26" s="21" t="s">
        <v>8</v>
      </c>
    </row>
    <row r="27" ht="15.75" customHeight="1">
      <c r="A27" s="86" t="s">
        <v>49</v>
      </c>
      <c r="B27" s="15"/>
      <c r="C27" s="87"/>
      <c r="D27" s="7"/>
      <c r="F27" s="88" t="s">
        <v>50</v>
      </c>
      <c r="G27" s="88"/>
      <c r="H27" s="88"/>
      <c r="I27" s="89">
        <f t="shared" ref="I27:K27" si="7">SUM(I22:I26)</f>
        <v>5000</v>
      </c>
      <c r="J27" s="89">
        <f t="shared" si="7"/>
        <v>416.6666667</v>
      </c>
      <c r="K27" s="89">
        <f t="shared" si="7"/>
        <v>13.69863014</v>
      </c>
      <c r="L27" s="21" t="s">
        <v>8</v>
      </c>
    </row>
    <row r="28" ht="15.75" customHeight="1">
      <c r="A28" s="90" t="s">
        <v>51</v>
      </c>
      <c r="B28" s="41">
        <f>B7*0.6</f>
        <v>4500000</v>
      </c>
      <c r="C28" s="41">
        <f>C30*B29</f>
        <v>2850000</v>
      </c>
      <c r="D28" s="21" t="s">
        <v>8</v>
      </c>
      <c r="F28" s="91" t="s">
        <v>52</v>
      </c>
      <c r="G28" s="92">
        <f t="shared" ref="G28:G29" si="8">K28</f>
        <v>150</v>
      </c>
      <c r="H28" s="93"/>
      <c r="I28" s="94"/>
      <c r="J28" s="95"/>
      <c r="K28" s="96">
        <f>$H$15</f>
        <v>150</v>
      </c>
      <c r="L28" s="21" t="s">
        <v>8</v>
      </c>
    </row>
    <row r="29" ht="15.75" customHeight="1">
      <c r="A29" s="97" t="s">
        <v>53</v>
      </c>
      <c r="B29" s="98">
        <f>SUM(B31*B11)</f>
        <v>9500</v>
      </c>
      <c r="C29" s="21" t="s">
        <v>8</v>
      </c>
      <c r="D29" s="7"/>
      <c r="F29" s="88" t="s">
        <v>54</v>
      </c>
      <c r="G29" s="99">
        <f t="shared" si="8"/>
        <v>2054.794521</v>
      </c>
      <c r="H29" s="88"/>
      <c r="I29" s="88"/>
      <c r="J29" s="88"/>
      <c r="K29" s="99">
        <f>K27*K28</f>
        <v>2054.794521</v>
      </c>
      <c r="L29" s="21" t="s">
        <v>8</v>
      </c>
    </row>
    <row r="30" ht="15.75" customHeight="1">
      <c r="A30" s="97" t="s">
        <v>55</v>
      </c>
      <c r="B30" s="41">
        <f>B28/B29</f>
        <v>473.6842105</v>
      </c>
      <c r="C30" s="100">
        <v>300.0</v>
      </c>
      <c r="D30" s="101" t="s">
        <v>56</v>
      </c>
    </row>
    <row r="31" ht="15.75" customHeight="1">
      <c r="A31" s="97" t="s">
        <v>57</v>
      </c>
      <c r="B31" s="102">
        <v>1900.0</v>
      </c>
      <c r="C31" s="12" t="s">
        <v>4</v>
      </c>
      <c r="D31" s="7"/>
      <c r="F31" s="103" t="s">
        <v>58</v>
      </c>
      <c r="G31" s="14"/>
      <c r="H31" s="15"/>
    </row>
    <row r="32" ht="15.75" customHeight="1">
      <c r="A32" s="104" t="s">
        <v>59</v>
      </c>
      <c r="B32" s="105">
        <v>150.0</v>
      </c>
      <c r="C32" s="12" t="s">
        <v>4</v>
      </c>
      <c r="D32" s="7"/>
      <c r="F32" s="18" t="s">
        <v>58</v>
      </c>
      <c r="G32" s="19">
        <v>0.045</v>
      </c>
      <c r="H32" s="20"/>
      <c r="I32" s="21"/>
      <c r="J32" s="106"/>
    </row>
    <row r="33" ht="15.75" customHeight="1">
      <c r="A33" s="107" t="s">
        <v>60</v>
      </c>
      <c r="B33" s="76">
        <f>B7-B12-B24-B28</f>
        <v>2559500</v>
      </c>
      <c r="C33" s="108">
        <f>B7-B12-B24-C28</f>
        <v>4209500</v>
      </c>
      <c r="D33" s="21" t="s">
        <v>8</v>
      </c>
      <c r="F33" s="52" t="s">
        <v>61</v>
      </c>
      <c r="G33" s="30">
        <f>B7*G32</f>
        <v>337500</v>
      </c>
      <c r="H33" s="31">
        <f>G33</f>
        <v>337500</v>
      </c>
      <c r="I33" s="21" t="s">
        <v>8</v>
      </c>
      <c r="J33" s="109"/>
    </row>
    <row r="34" ht="15.75" customHeight="1">
      <c r="B34" s="69" t="s">
        <v>62</v>
      </c>
      <c r="F34" s="110" t="s">
        <v>63</v>
      </c>
      <c r="G34" s="15"/>
      <c r="H34" s="111">
        <f>SUM(H32:H33)</f>
        <v>337500</v>
      </c>
      <c r="I34" s="21" t="s">
        <v>8</v>
      </c>
    </row>
    <row r="35" ht="15.75" customHeight="1"/>
    <row r="36" ht="15.75" customHeight="1">
      <c r="A36" s="69" t="s">
        <v>64</v>
      </c>
      <c r="B36" s="112">
        <f>(B24+B28)</f>
        <v>4590500</v>
      </c>
      <c r="C36" s="113">
        <f>B36*0.05</f>
        <v>229525</v>
      </c>
      <c r="F36" s="114" t="s">
        <v>65</v>
      </c>
      <c r="G36" s="14"/>
      <c r="H36" s="15"/>
    </row>
    <row r="37" ht="15.75" customHeight="1">
      <c r="F37" s="64" t="s">
        <v>66</v>
      </c>
      <c r="G37" s="115">
        <f>B7</f>
        <v>7500000</v>
      </c>
      <c r="H37" s="116"/>
      <c r="I37" s="21" t="s">
        <v>8</v>
      </c>
    </row>
    <row r="38" ht="15.75" customHeight="1">
      <c r="F38" s="23" t="s">
        <v>67</v>
      </c>
      <c r="G38" s="117">
        <f>B12</f>
        <v>350000</v>
      </c>
      <c r="H38" s="118"/>
      <c r="I38" s="21" t="s">
        <v>8</v>
      </c>
    </row>
    <row r="39" ht="15.75" customHeight="1">
      <c r="F39" s="23" t="s">
        <v>68</v>
      </c>
      <c r="G39" s="117">
        <f>B24</f>
        <v>90500</v>
      </c>
      <c r="H39" s="118"/>
      <c r="I39" s="21" t="s">
        <v>8</v>
      </c>
    </row>
    <row r="40" ht="15.75" customHeight="1">
      <c r="F40" s="23" t="s">
        <v>49</v>
      </c>
      <c r="G40" s="117">
        <f>B28</f>
        <v>4500000</v>
      </c>
      <c r="H40" s="118"/>
      <c r="I40" s="21" t="s">
        <v>8</v>
      </c>
    </row>
    <row r="41" ht="15.75" customHeight="1">
      <c r="F41" s="23" t="s">
        <v>69</v>
      </c>
      <c r="G41" s="117">
        <f t="shared" ref="G41:H41" si="9">H18</f>
        <v>892843.4589</v>
      </c>
      <c r="H41" s="119">
        <f t="shared" si="9"/>
        <v>553975.4795</v>
      </c>
      <c r="I41" s="21" t="s">
        <v>8</v>
      </c>
    </row>
    <row r="42" ht="15.75" customHeight="1">
      <c r="F42" s="23" t="s">
        <v>37</v>
      </c>
      <c r="G42" s="117">
        <f>G29</f>
        <v>2054.794521</v>
      </c>
      <c r="H42" s="118"/>
      <c r="I42" s="21" t="s">
        <v>8</v>
      </c>
    </row>
    <row r="43" ht="15.75" customHeight="1">
      <c r="F43" s="23" t="s">
        <v>5</v>
      </c>
      <c r="G43" s="117">
        <f>H10</f>
        <v>39000</v>
      </c>
      <c r="H43" s="118"/>
      <c r="I43" s="21" t="s">
        <v>8</v>
      </c>
    </row>
    <row r="44" ht="15.75" customHeight="1">
      <c r="F44" s="52" t="s">
        <v>70</v>
      </c>
      <c r="G44" s="120">
        <f>H34</f>
        <v>337500</v>
      </c>
      <c r="H44" s="121"/>
      <c r="I44" s="21" t="s">
        <v>8</v>
      </c>
    </row>
    <row r="45" ht="15.75" customHeight="1">
      <c r="F45" s="122" t="s">
        <v>71</v>
      </c>
      <c r="G45" s="15"/>
      <c r="H45" s="123">
        <f>SUM(G38:G44)</f>
        <v>6211898.253</v>
      </c>
      <c r="I45" s="21" t="s">
        <v>8</v>
      </c>
    </row>
    <row r="46" ht="15.75" customHeight="1">
      <c r="F46" s="124" t="s">
        <v>72</v>
      </c>
      <c r="G46" s="123">
        <f>G37-H45</f>
        <v>1288101.747</v>
      </c>
      <c r="H46" s="123">
        <f>G46+H41</f>
        <v>1842077.226</v>
      </c>
      <c r="I46" s="21" t="s">
        <v>8</v>
      </c>
      <c r="J46" s="125" t="s">
        <v>73</v>
      </c>
    </row>
    <row r="47" ht="15.75" customHeight="1">
      <c r="F47" s="122" t="s">
        <v>74</v>
      </c>
      <c r="G47" s="15"/>
      <c r="H47" s="123">
        <f>SUM(G38,G39,G41,G42,G43,G44,C28)</f>
        <v>4561898.253</v>
      </c>
      <c r="I47" s="21" t="s">
        <v>8</v>
      </c>
    </row>
    <row r="48" ht="15.75" customHeight="1">
      <c r="F48" s="124" t="s">
        <v>75</v>
      </c>
      <c r="G48" s="123">
        <f>G37-H47</f>
        <v>2938101.747</v>
      </c>
      <c r="H48" s="123">
        <f>G48+H41</f>
        <v>3492077.226</v>
      </c>
      <c r="I48" s="21" t="s">
        <v>8</v>
      </c>
      <c r="J48" s="113">
        <f>279446/2</f>
        <v>139723</v>
      </c>
    </row>
    <row r="49" ht="15.75" customHeight="1">
      <c r="H49" s="126" t="s">
        <v>76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9">
    <mergeCell ref="F12:H12"/>
    <mergeCell ref="F13:G13"/>
    <mergeCell ref="F15:G15"/>
    <mergeCell ref="F16:G16"/>
    <mergeCell ref="F21:H21"/>
    <mergeCell ref="A27:B27"/>
    <mergeCell ref="G28:H28"/>
    <mergeCell ref="F31:H31"/>
    <mergeCell ref="F34:G34"/>
    <mergeCell ref="F36:H36"/>
    <mergeCell ref="F45:G45"/>
    <mergeCell ref="F47:G47"/>
    <mergeCell ref="A1:D1"/>
    <mergeCell ref="E1:E48"/>
    <mergeCell ref="F1:K1"/>
    <mergeCell ref="A2:D2"/>
    <mergeCell ref="F2:K2"/>
    <mergeCell ref="F5:H5"/>
    <mergeCell ref="F10:G10"/>
  </mergeCells>
  <conditionalFormatting sqref="G46">
    <cfRule type="cellIs" dxfId="0" priority="1" operator="greaterThan">
      <formula>0</formula>
    </cfRule>
  </conditionalFormatting>
  <conditionalFormatting sqref="G48">
    <cfRule type="cellIs" dxfId="0" priority="2" operator="greaterThan">
      <formula>0</formula>
    </cfRule>
  </conditionalFormatting>
  <dataValidations>
    <dataValidation type="list" allowBlank="1" showErrorMessage="1" sqref="G17">
      <formula1>"0%,1%,2%,3%,4%,5%,6%,7%,8%,9%,10%,11%,12%,13%,14%,15%,16%,17%,18%,19%,20%,21%,22%,23%,24%,25%,11.25%,11.50%,1.50%,1.75%"</formula1>
    </dataValidation>
    <dataValidation type="list" allowBlank="1" showErrorMessage="1" sqref="G14">
      <formula1>"1%,2%,3%,4%,5%,6%,7%,8%,9%,10%,11%,12%,13%,14%,15%,16%,17%,18%,19%,20%,21%,22%,23%,24%,25%,11.25%,11.50%"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